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st\Documents\GitHub\Testshim\latency\ExcludeValues\"/>
    </mc:Choice>
  </mc:AlternateContent>
  <xr:revisionPtr revIDLastSave="0" documentId="13_ncr:1_{751B3E4D-7780-475E-9943-7C8729A10774}" xr6:coauthVersionLast="36" xr6:coauthVersionMax="36" xr10:uidLastSave="{00000000-0000-0000-0000-000000000000}"/>
  <bookViews>
    <workbookView xWindow="0" yWindow="0" windowWidth="11835" windowHeight="1167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3" i="1" l="1"/>
  <c r="B35" i="1"/>
  <c r="B9" i="1"/>
  <c r="I18" i="1"/>
  <c r="H31" i="1"/>
  <c r="I29" i="1"/>
  <c r="B38" i="1"/>
  <c r="B11" i="1"/>
  <c r="C28" i="1"/>
  <c r="I9" i="1"/>
  <c r="C26" i="1"/>
  <c r="D23" i="1"/>
  <c r="J26" i="1"/>
  <c r="D10" i="1"/>
  <c r="H26" i="1"/>
  <c r="D34" i="1"/>
  <c r="H4" i="1"/>
  <c r="D4" i="1"/>
  <c r="J4" i="1"/>
  <c r="C15" i="1"/>
  <c r="I25" i="1"/>
  <c r="D18" i="1"/>
  <c r="I6" i="1"/>
  <c r="O3" i="1"/>
  <c r="O12" i="1"/>
  <c r="H27" i="1"/>
  <c r="J28" i="1"/>
  <c r="D22" i="1"/>
  <c r="D24" i="1"/>
  <c r="I36" i="1"/>
  <c r="C36" i="1"/>
  <c r="J30" i="1"/>
  <c r="J18" i="1"/>
  <c r="C38" i="1"/>
  <c r="C33" i="1"/>
  <c r="O18" i="1"/>
  <c r="J14" i="1"/>
  <c r="H15" i="1"/>
  <c r="D28" i="1"/>
  <c r="J27" i="1"/>
  <c r="C30" i="1"/>
  <c r="J17" i="1"/>
  <c r="D32" i="1"/>
  <c r="H19" i="1"/>
  <c r="I7" i="1"/>
  <c r="C14" i="1"/>
  <c r="D36" i="1"/>
  <c r="O34" i="1"/>
  <c r="D35" i="1"/>
  <c r="O38" i="1"/>
  <c r="B21" i="1"/>
  <c r="D15" i="1"/>
  <c r="H29" i="1"/>
  <c r="C4" i="1"/>
  <c r="J11" i="1"/>
  <c r="O17" i="1"/>
  <c r="B33" i="1"/>
  <c r="C21" i="1"/>
  <c r="H5" i="1"/>
  <c r="D9" i="1"/>
  <c r="I32" i="1"/>
  <c r="I4" i="1"/>
  <c r="C17" i="1"/>
  <c r="H33" i="1"/>
  <c r="J21" i="1"/>
  <c r="H34" i="1"/>
  <c r="O32" i="1"/>
  <c r="O28" i="1"/>
  <c r="B36" i="1"/>
  <c r="H16" i="1"/>
  <c r="B13" i="1"/>
  <c r="D16" i="1"/>
  <c r="H20" i="1"/>
  <c r="D8" i="1"/>
  <c r="B15" i="1"/>
  <c r="D3" i="1"/>
  <c r="O22" i="1"/>
  <c r="D17" i="1"/>
  <c r="J25" i="1"/>
  <c r="H30" i="1"/>
  <c r="J9" i="1"/>
  <c r="B37" i="1"/>
  <c r="I11" i="1"/>
  <c r="O15" i="1"/>
  <c r="O13" i="1"/>
  <c r="B28" i="1"/>
  <c r="B12" i="1"/>
  <c r="O23" i="1"/>
  <c r="D30" i="1"/>
  <c r="B7" i="1"/>
  <c r="I8" i="1"/>
  <c r="C24" i="1"/>
  <c r="O4" i="1"/>
  <c r="J13" i="1"/>
  <c r="O26" i="1"/>
  <c r="B27" i="1"/>
  <c r="O20" i="1"/>
  <c r="B25" i="1"/>
  <c r="O24" i="1"/>
  <c r="B5" i="1"/>
  <c r="H28" i="1"/>
  <c r="C11" i="1"/>
  <c r="O37" i="1"/>
  <c r="H7" i="1"/>
  <c r="C27" i="1"/>
  <c r="O31" i="1"/>
  <c r="J36" i="1"/>
  <c r="C34" i="1"/>
  <c r="J29" i="1"/>
  <c r="I24" i="1"/>
  <c r="O25" i="1"/>
  <c r="J22" i="1"/>
  <c r="H6" i="1"/>
  <c r="O8" i="1"/>
  <c r="H32" i="1"/>
  <c r="I21" i="1"/>
  <c r="B23" i="1"/>
  <c r="D6" i="1"/>
  <c r="I3" i="1"/>
  <c r="H35" i="1"/>
  <c r="O7" i="1"/>
  <c r="O11" i="1"/>
  <c r="H3" i="1"/>
  <c r="D12" i="1"/>
  <c r="D13" i="1"/>
  <c r="H36" i="1"/>
  <c r="C8" i="1"/>
  <c r="O29" i="1"/>
  <c r="B8" i="1"/>
  <c r="J8" i="1"/>
  <c r="O21" i="1"/>
  <c r="C3" i="1"/>
  <c r="J3" i="1"/>
  <c r="H14" i="1"/>
  <c r="H13" i="1"/>
  <c r="O35" i="1"/>
  <c r="J35" i="1"/>
  <c r="D27" i="1"/>
  <c r="C10" i="1"/>
  <c r="D25" i="1"/>
  <c r="O14" i="1"/>
  <c r="B20" i="1"/>
  <c r="J37" i="1"/>
  <c r="B3" i="1"/>
  <c r="H38" i="1"/>
  <c r="J34" i="1"/>
  <c r="J32" i="1"/>
  <c r="I28" i="1"/>
  <c r="J5" i="1"/>
  <c r="O16" i="1"/>
  <c r="H37" i="1"/>
  <c r="I12" i="1"/>
  <c r="H22" i="1"/>
  <c r="D7" i="1"/>
  <c r="H10" i="1"/>
  <c r="D31" i="1"/>
  <c r="C22" i="1"/>
  <c r="J6" i="1"/>
  <c r="H17" i="1"/>
  <c r="D21" i="1"/>
  <c r="H11" i="1"/>
  <c r="B16" i="1"/>
  <c r="I10" i="1"/>
  <c r="D20" i="1"/>
  <c r="I23" i="1"/>
  <c r="J7" i="1"/>
  <c r="J38" i="1"/>
  <c r="O5" i="1"/>
  <c r="O19" i="1"/>
  <c r="H12" i="1"/>
  <c r="O30" i="1"/>
  <c r="J19" i="1"/>
  <c r="D38" i="1"/>
  <c r="D19" i="1"/>
  <c r="I5" i="1"/>
  <c r="O36" i="1"/>
  <c r="B32" i="1"/>
  <c r="J15" i="1"/>
  <c r="C19" i="1"/>
  <c r="D14" i="1"/>
  <c r="H25" i="1"/>
  <c r="O6" i="1"/>
  <c r="J24" i="1"/>
  <c r="C18" i="1"/>
  <c r="D29" i="1"/>
  <c r="I22" i="1"/>
  <c r="I37" i="1"/>
  <c r="D5" i="1"/>
  <c r="B6" i="1"/>
  <c r="I14" i="1"/>
  <c r="J10" i="1"/>
  <c r="H18" i="1"/>
  <c r="B26" i="1"/>
  <c r="O27" i="1"/>
  <c r="I16" i="1"/>
  <c r="I35" i="1"/>
  <c r="I33" i="1"/>
  <c r="B34" i="1"/>
  <c r="B29" i="1"/>
  <c r="C37" i="1"/>
  <c r="O10" i="1"/>
  <c r="I31" i="1"/>
  <c r="C31" i="1"/>
  <c r="C35" i="1"/>
  <c r="D33" i="1"/>
  <c r="I27" i="1"/>
  <c r="J33" i="1"/>
  <c r="I38" i="1"/>
  <c r="D11" i="1"/>
  <c r="J23" i="1"/>
  <c r="C9" i="1"/>
  <c r="B19" i="1"/>
  <c r="I26" i="1"/>
  <c r="J31" i="1"/>
  <c r="B4" i="1"/>
  <c r="C12" i="1"/>
  <c r="C13" i="1"/>
  <c r="C5" i="1"/>
  <c r="D26" i="1"/>
  <c r="I15" i="1"/>
  <c r="H23" i="1"/>
  <c r="B31" i="1"/>
  <c r="C16" i="1"/>
  <c r="H21" i="1"/>
  <c r="I19" i="1"/>
  <c r="I20" i="1"/>
  <c r="I17" i="1"/>
  <c r="C32" i="1"/>
  <c r="H8" i="1"/>
  <c r="B10" i="1"/>
  <c r="C25" i="1"/>
  <c r="C6" i="1"/>
  <c r="H24" i="1"/>
  <c r="B22" i="1"/>
  <c r="I13" i="1"/>
  <c r="B18" i="1"/>
  <c r="B14" i="1"/>
  <c r="C20" i="1"/>
  <c r="H9" i="1"/>
  <c r="C23" i="1"/>
  <c r="J20" i="1"/>
  <c r="I30" i="1"/>
  <c r="B30" i="1"/>
  <c r="B17" i="1"/>
  <c r="I34" i="1"/>
  <c r="D37" i="1"/>
  <c r="J16" i="1"/>
  <c r="B24" i="1"/>
  <c r="C7" i="1"/>
  <c r="O9" i="1"/>
  <c r="J12" i="1"/>
  <c r="C29" i="1"/>
  <c r="K12" i="1" l="1"/>
  <c r="L12" i="1" s="1"/>
  <c r="K16" i="1"/>
  <c r="L16" i="1" s="1"/>
  <c r="E37" i="1"/>
  <c r="F37" i="1" s="1"/>
  <c r="G37" i="1" s="1"/>
  <c r="P37" i="1" s="1"/>
  <c r="K20" i="1"/>
  <c r="L20" i="1" s="1"/>
  <c r="E26" i="1"/>
  <c r="F26" i="1" s="1"/>
  <c r="G26" i="1" s="1"/>
  <c r="P26" i="1" s="1"/>
  <c r="K31" i="1"/>
  <c r="L31" i="1" s="1"/>
  <c r="K23" i="1"/>
  <c r="L23" i="1" s="1"/>
  <c r="E11" i="1"/>
  <c r="F11" i="1" s="1"/>
  <c r="G11" i="1" s="1"/>
  <c r="P11" i="1" s="1"/>
  <c r="K33" i="1"/>
  <c r="L33" i="1" s="1"/>
  <c r="E33" i="1"/>
  <c r="F33" i="1" s="1"/>
  <c r="G33" i="1" s="1"/>
  <c r="P33" i="1" s="1"/>
  <c r="K10" i="1"/>
  <c r="L10" i="1" s="1"/>
  <c r="E5" i="1"/>
  <c r="F5" i="1" s="1"/>
  <c r="G5" i="1" s="1"/>
  <c r="P5" i="1" s="1"/>
  <c r="E29" i="1"/>
  <c r="F29" i="1" s="1"/>
  <c r="G29" i="1" s="1"/>
  <c r="P29" i="1" s="1"/>
  <c r="K24" i="1"/>
  <c r="L24" i="1" s="1"/>
  <c r="E14" i="1"/>
  <c r="F14" i="1" s="1"/>
  <c r="G14" i="1" s="1"/>
  <c r="P14" i="1" s="1"/>
  <c r="K15" i="1"/>
  <c r="L15" i="1" s="1"/>
  <c r="E19" i="1"/>
  <c r="F19" i="1" s="1"/>
  <c r="G19" i="1" s="1"/>
  <c r="P19" i="1" s="1"/>
  <c r="E38" i="1"/>
  <c r="F38" i="1" s="1"/>
  <c r="G38" i="1" s="1"/>
  <c r="P38" i="1" s="1"/>
  <c r="K19" i="1"/>
  <c r="L19" i="1" s="1"/>
  <c r="K38" i="1"/>
  <c r="L38" i="1" s="1"/>
  <c r="K7" i="1"/>
  <c r="L7" i="1" s="1"/>
  <c r="E20" i="1"/>
  <c r="F20" i="1" s="1"/>
  <c r="G20" i="1" s="1"/>
  <c r="P20" i="1" s="1"/>
  <c r="E21" i="1"/>
  <c r="F21" i="1" s="1"/>
  <c r="G21" i="1" s="1"/>
  <c r="P21" i="1" s="1"/>
  <c r="K6" i="1"/>
  <c r="L6" i="1" s="1"/>
  <c r="E31" i="1"/>
  <c r="F31" i="1" s="1"/>
  <c r="G31" i="1" s="1"/>
  <c r="P31" i="1" s="1"/>
  <c r="E7" i="1"/>
  <c r="F7" i="1" s="1"/>
  <c r="G7" i="1" s="1"/>
  <c r="P7" i="1" s="1"/>
  <c r="K5" i="1"/>
  <c r="L5" i="1" s="1"/>
  <c r="K32" i="1"/>
  <c r="L32" i="1" s="1"/>
  <c r="K34" i="1"/>
  <c r="L34" i="1" s="1"/>
  <c r="K37" i="1"/>
  <c r="L37" i="1" s="1"/>
  <c r="E25" i="1"/>
  <c r="F25" i="1" s="1"/>
  <c r="G25" i="1" s="1"/>
  <c r="P25" i="1" s="1"/>
  <c r="E27" i="1"/>
  <c r="F27" i="1" s="1"/>
  <c r="G27" i="1" s="1"/>
  <c r="P27" i="1" s="1"/>
  <c r="K35" i="1"/>
  <c r="L35" i="1" s="1"/>
  <c r="K3" i="1"/>
  <c r="L3" i="1" s="1"/>
  <c r="K8" i="1"/>
  <c r="L8" i="1" s="1"/>
  <c r="E13" i="1"/>
  <c r="F13" i="1" s="1"/>
  <c r="G13" i="1" s="1"/>
  <c r="P13" i="1" s="1"/>
  <c r="E12" i="1"/>
  <c r="F12" i="1" s="1"/>
  <c r="G12" i="1" s="1"/>
  <c r="P12" i="1" s="1"/>
  <c r="C106" i="1"/>
  <c r="H106" i="1"/>
  <c r="E6" i="1"/>
  <c r="F6" i="1" s="1"/>
  <c r="G6" i="1" s="1"/>
  <c r="P6" i="1" s="1"/>
  <c r="K22" i="1"/>
  <c r="L22" i="1" s="1"/>
  <c r="K29" i="1"/>
  <c r="L29" i="1" s="1"/>
  <c r="K36" i="1"/>
  <c r="L36" i="1" s="1"/>
  <c r="K13" i="1"/>
  <c r="L13" i="1" s="1"/>
  <c r="E30" i="1"/>
  <c r="F30" i="1" s="1"/>
  <c r="G30" i="1" s="1"/>
  <c r="P30" i="1" s="1"/>
  <c r="K9" i="1"/>
  <c r="L9" i="1" s="1"/>
  <c r="K25" i="1"/>
  <c r="L25" i="1" s="1"/>
  <c r="E17" i="1"/>
  <c r="F17" i="1" s="1"/>
  <c r="G17" i="1" s="1"/>
  <c r="P17" i="1" s="1"/>
  <c r="E3" i="1"/>
  <c r="F3" i="1" s="1"/>
  <c r="G3" i="1" s="1"/>
  <c r="P3" i="1" s="1"/>
  <c r="E8" i="1"/>
  <c r="F8" i="1" s="1"/>
  <c r="G8" i="1" s="1"/>
  <c r="P8" i="1" s="1"/>
  <c r="E16" i="1"/>
  <c r="F16" i="1" s="1"/>
  <c r="G16" i="1" s="1"/>
  <c r="P16" i="1" s="1"/>
  <c r="K21" i="1"/>
  <c r="L21" i="1" s="1"/>
  <c r="E9" i="1"/>
  <c r="F9" i="1" s="1"/>
  <c r="G9" i="1" s="1"/>
  <c r="P9" i="1" s="1"/>
  <c r="K11" i="1"/>
  <c r="L11" i="1" s="1"/>
  <c r="E15" i="1"/>
  <c r="F15" i="1" s="1"/>
  <c r="G15" i="1" s="1"/>
  <c r="P15" i="1" s="1"/>
  <c r="E35" i="1"/>
  <c r="F35" i="1" s="1"/>
  <c r="G35" i="1" s="1"/>
  <c r="P35" i="1" s="1"/>
  <c r="E36" i="1"/>
  <c r="F36" i="1" s="1"/>
  <c r="G36" i="1" s="1"/>
  <c r="P36" i="1" s="1"/>
  <c r="E32" i="1"/>
  <c r="F32" i="1" s="1"/>
  <c r="G32" i="1" s="1"/>
  <c r="P32" i="1" s="1"/>
  <c r="K17" i="1"/>
  <c r="L17" i="1" s="1"/>
  <c r="K27" i="1"/>
  <c r="L27" i="1" s="1"/>
  <c r="E28" i="1"/>
  <c r="F28" i="1" s="1"/>
  <c r="G28" i="1" s="1"/>
  <c r="P28" i="1" s="1"/>
  <c r="K14" i="1"/>
  <c r="L14" i="1" s="1"/>
  <c r="K18" i="1"/>
  <c r="L18" i="1" s="1"/>
  <c r="K30" i="1"/>
  <c r="L30" i="1" s="1"/>
  <c r="E24" i="1"/>
  <c r="F24" i="1" s="1"/>
  <c r="G24" i="1" s="1"/>
  <c r="P24" i="1" s="1"/>
  <c r="E22" i="1"/>
  <c r="F22" i="1" s="1"/>
  <c r="G22" i="1" s="1"/>
  <c r="P22" i="1" s="1"/>
  <c r="K28" i="1"/>
  <c r="L28" i="1" s="1"/>
  <c r="E18" i="1"/>
  <c r="F18" i="1" s="1"/>
  <c r="G18" i="1" s="1"/>
  <c r="P18" i="1" s="1"/>
  <c r="K4" i="1"/>
  <c r="L4" i="1" s="1"/>
  <c r="E4" i="1"/>
  <c r="F4" i="1" s="1"/>
  <c r="G4" i="1" s="1"/>
  <c r="P4" i="1" s="1"/>
  <c r="E34" i="1"/>
  <c r="F34" i="1" s="1"/>
  <c r="G34" i="1" s="1"/>
  <c r="P34" i="1" s="1"/>
  <c r="E10" i="1"/>
  <c r="F10" i="1" s="1"/>
  <c r="G10" i="1" s="1"/>
  <c r="P10" i="1" s="1"/>
  <c r="K26" i="1"/>
  <c r="L26" i="1" s="1"/>
  <c r="E23" i="1"/>
  <c r="F23" i="1" s="1"/>
  <c r="G23" i="1" s="1"/>
  <c r="P23" i="1" s="1"/>
  <c r="N20" i="1" l="1"/>
  <c r="M20" i="1"/>
  <c r="N21" i="1"/>
  <c r="M21" i="1"/>
  <c r="M13" i="1"/>
  <c r="N13" i="1"/>
  <c r="M6" i="1"/>
  <c r="N6" i="1"/>
  <c r="M15" i="1"/>
  <c r="N15" i="1"/>
  <c r="M28" i="1"/>
  <c r="N28" i="1"/>
  <c r="M25" i="1"/>
  <c r="N25" i="1"/>
  <c r="M36" i="1"/>
  <c r="N36" i="1"/>
  <c r="N8" i="1"/>
  <c r="M8" i="1"/>
  <c r="M5" i="1"/>
  <c r="N5" i="1"/>
  <c r="N19" i="1"/>
  <c r="M19" i="1"/>
  <c r="M10" i="1"/>
  <c r="N10" i="1"/>
  <c r="M23" i="1"/>
  <c r="N23" i="1"/>
  <c r="M30" i="1"/>
  <c r="N30" i="1"/>
  <c r="N14" i="1"/>
  <c r="M14" i="1"/>
  <c r="N11" i="1"/>
  <c r="M11" i="1"/>
  <c r="N9" i="1"/>
  <c r="M9" i="1"/>
  <c r="N29" i="1"/>
  <c r="M29" i="1"/>
  <c r="E106" i="1"/>
  <c r="D106" i="1"/>
  <c r="H107" i="1"/>
  <c r="C107" i="1"/>
  <c r="N3" i="1"/>
  <c r="M3" i="1"/>
  <c r="N37" i="1"/>
  <c r="M37" i="1"/>
  <c r="N24" i="1"/>
  <c r="M24" i="1"/>
  <c r="M31" i="1"/>
  <c r="N31" i="1"/>
  <c r="M16" i="1"/>
  <c r="N16" i="1"/>
  <c r="M27" i="1"/>
  <c r="N27" i="1"/>
  <c r="N32" i="1"/>
  <c r="M32" i="1"/>
  <c r="N38" i="1"/>
  <c r="M38" i="1"/>
  <c r="N18" i="1"/>
  <c r="M18" i="1"/>
  <c r="M17" i="1"/>
  <c r="N17" i="1"/>
  <c r="M26" i="1"/>
  <c r="N26" i="1"/>
  <c r="M4" i="1"/>
  <c r="N4" i="1"/>
  <c r="N22" i="1"/>
  <c r="M22" i="1"/>
  <c r="N35" i="1"/>
  <c r="M35" i="1"/>
  <c r="M34" i="1"/>
  <c r="N34" i="1"/>
  <c r="N7" i="1"/>
  <c r="M7" i="1"/>
  <c r="M33" i="1"/>
  <c r="N33" i="1"/>
  <c r="M12" i="1"/>
  <c r="N12" i="1"/>
  <c r="D107" i="1" l="1"/>
  <c r="E107" i="1"/>
  <c r="G106" i="1"/>
  <c r="F106" i="1"/>
  <c r="G107" i="1" l="1"/>
  <c r="F107" i="1"/>
</calcChain>
</file>

<file path=xl/sharedStrings.xml><?xml version="1.0" encoding="utf-8"?>
<sst xmlns="http://schemas.openxmlformats.org/spreadsheetml/2006/main" count="62" uniqueCount="56">
  <si>
    <t>res_BubbleSort</t>
    <phoneticPr fontId="1"/>
  </si>
  <si>
    <t>res_CelsiustoFahren</t>
    <phoneticPr fontId="1"/>
  </si>
  <si>
    <t>res_EuclideanAlgorithm</t>
    <phoneticPr fontId="1"/>
  </si>
  <si>
    <t>res_Exchange</t>
    <phoneticPr fontId="1"/>
  </si>
  <si>
    <t>res_Exchange_F</t>
    <phoneticPr fontId="1"/>
  </si>
  <si>
    <t>res_fadd</t>
    <phoneticPr fontId="1"/>
  </si>
  <si>
    <t>res_fcmp</t>
    <phoneticPr fontId="1"/>
  </si>
  <si>
    <t>res_Fibonacci</t>
    <phoneticPr fontId="1"/>
  </si>
  <si>
    <t>res_Fibonacci_F</t>
    <phoneticPr fontId="1"/>
  </si>
  <si>
    <t>res_fmul</t>
    <phoneticPr fontId="1"/>
  </si>
  <si>
    <t>res_FunctionCallTest</t>
    <phoneticPr fontId="1"/>
  </si>
  <si>
    <t>res_GaussianElimination</t>
    <phoneticPr fontId="1"/>
  </si>
  <si>
    <t>res_hanoi</t>
    <phoneticPr fontId="1"/>
  </si>
  <si>
    <t>res_MergeSort</t>
    <phoneticPr fontId="1"/>
  </si>
  <si>
    <t>res_NapierNumber</t>
    <phoneticPr fontId="1"/>
  </si>
  <si>
    <t>res_NumberPlace</t>
    <phoneticPr fontId="1"/>
  </si>
  <si>
    <t>res_PerfectNumber</t>
    <phoneticPr fontId="1"/>
  </si>
  <si>
    <t>res_PerfectNumber_F</t>
    <phoneticPr fontId="1"/>
  </si>
  <si>
    <t>res_PrimeNumber</t>
    <phoneticPr fontId="1"/>
  </si>
  <si>
    <t>res_QuickSort</t>
    <phoneticPr fontId="1"/>
  </si>
  <si>
    <t>res_RadixConversion</t>
    <phoneticPr fontId="1"/>
  </si>
  <si>
    <t>res_RadixConversion_F</t>
    <phoneticPr fontId="1"/>
  </si>
  <si>
    <t>res_SeriesSum</t>
    <phoneticPr fontId="1"/>
  </si>
  <si>
    <t>res_SimpleFilterProcess</t>
    <phoneticPr fontId="1"/>
  </si>
  <si>
    <t>res_sum</t>
    <phoneticPr fontId="1"/>
  </si>
  <si>
    <t>Name</t>
    <phoneticPr fontId="1"/>
  </si>
  <si>
    <t>L1-D-Access</t>
    <phoneticPr fontId="1"/>
  </si>
  <si>
    <t>L1-D-Refill</t>
    <phoneticPr fontId="1"/>
  </si>
  <si>
    <t>TotalCycle</t>
    <phoneticPr fontId="1"/>
  </si>
  <si>
    <t>外値合計</t>
    <rPh sb="0" eb="1">
      <t>ハズ</t>
    </rPh>
    <rPh sb="1" eb="2">
      <t>アタイ</t>
    </rPh>
    <rPh sb="2" eb="4">
      <t>ゴウケイ</t>
    </rPh>
    <phoneticPr fontId="1"/>
  </si>
  <si>
    <t>外値個数</t>
    <rPh sb="0" eb="1">
      <t>ソト</t>
    </rPh>
    <rPh sb="1" eb="2">
      <t>アタイ</t>
    </rPh>
    <rPh sb="2" eb="4">
      <t>コスウ</t>
    </rPh>
    <phoneticPr fontId="1"/>
  </si>
  <si>
    <t>元の合計</t>
    <rPh sb="0" eb="1">
      <t>モト</t>
    </rPh>
    <rPh sb="2" eb="4">
      <t>ゴウケイ</t>
    </rPh>
    <phoneticPr fontId="1"/>
  </si>
  <si>
    <t>下限</t>
    <rPh sb="0" eb="2">
      <t>カゲン</t>
    </rPh>
    <phoneticPr fontId="1"/>
  </si>
  <si>
    <t>上限</t>
    <rPh sb="0" eb="2">
      <t>ジョウゲン</t>
    </rPh>
    <phoneticPr fontId="1"/>
  </si>
  <si>
    <t>res_Insertionsort</t>
    <phoneticPr fontId="1"/>
  </si>
  <si>
    <t>res_Shellsort</t>
    <phoneticPr fontId="1"/>
  </si>
  <si>
    <t>L1D-Access</t>
    <phoneticPr fontId="1"/>
  </si>
  <si>
    <t>median</t>
    <phoneticPr fontId="1"/>
  </si>
  <si>
    <t>L1D-Refill</t>
    <phoneticPr fontId="1"/>
  </si>
  <si>
    <t>res_Functions2</t>
    <phoneticPr fontId="1"/>
  </si>
  <si>
    <t>res_Functions5</t>
    <phoneticPr fontId="1"/>
  </si>
  <si>
    <t>res_Functions6</t>
    <phoneticPr fontId="1"/>
  </si>
  <si>
    <t>res_Functions7</t>
    <phoneticPr fontId="1"/>
  </si>
  <si>
    <t>res_Functions8</t>
    <phoneticPr fontId="1"/>
  </si>
  <si>
    <t>res_Functions9</t>
    <phoneticPr fontId="1"/>
  </si>
  <si>
    <t>res_Functions10</t>
    <phoneticPr fontId="1"/>
  </si>
  <si>
    <t>res_Functions12</t>
    <phoneticPr fontId="1"/>
  </si>
  <si>
    <t>res_Functions13</t>
    <phoneticPr fontId="1"/>
  </si>
  <si>
    <t>Original</t>
    <phoneticPr fontId="1"/>
  </si>
  <si>
    <t>Sum of outlier</t>
    <phoneticPr fontId="1"/>
  </si>
  <si>
    <t>Number of outlier</t>
    <phoneticPr fontId="1"/>
  </si>
  <si>
    <t>PMU</t>
    <phoneticPr fontId="1"/>
  </si>
  <si>
    <t>Organized value</t>
    <phoneticPr fontId="1"/>
  </si>
  <si>
    <t>New Average</t>
    <phoneticPr fontId="1"/>
  </si>
  <si>
    <t>NewMissRate</t>
    <phoneticPr fontId="1"/>
  </si>
  <si>
    <t>RegMissRate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</si>
</sst>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left" vertical="center"/>
    </xf>
  </cellXfs>
  <cellStyles count="1"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7"/>
  <sheetViews>
    <sheetView tabSelected="1" workbookViewId="0">
      <pane xSplit="1" topLeftCell="B1" activePane="topRight" state="frozen"/>
      <selection activeCell="O31" sqref="O31:O32"/>
      <selection pane="topRight" activeCell="P1" sqref="P1"/>
    </sheetView>
  </sheetViews>
  <sheetFormatPr defaultRowHeight="18.75" x14ac:dyDescent="0.4"/>
  <cols>
    <col min="1" max="1" width="22.5" customWidth="1"/>
    <col min="2" max="15" width="13.875" customWidth="1"/>
    <col min="16" max="21" width="9.625" customWidth="1"/>
  </cols>
  <sheetData>
    <row r="1" spans="1:16" x14ac:dyDescent="0.4">
      <c r="A1" s="1" t="s">
        <v>25</v>
      </c>
      <c r="B1" s="4" t="s">
        <v>26</v>
      </c>
      <c r="C1" s="4"/>
      <c r="D1" s="4"/>
      <c r="E1" s="4"/>
      <c r="F1" s="4"/>
      <c r="G1" s="4"/>
      <c r="H1" s="4" t="s">
        <v>27</v>
      </c>
      <c r="I1" s="4"/>
      <c r="J1" s="4"/>
      <c r="K1" s="4"/>
      <c r="L1" s="4"/>
      <c r="M1" s="4"/>
      <c r="N1" s="1" t="s">
        <v>54</v>
      </c>
      <c r="O1" s="1" t="s">
        <v>28</v>
      </c>
      <c r="P1" s="1" t="s">
        <v>55</v>
      </c>
    </row>
    <row r="2" spans="1:16" x14ac:dyDescent="0.4">
      <c r="A2" s="1"/>
      <c r="B2" s="1" t="s">
        <v>48</v>
      </c>
      <c r="C2" s="1" t="s">
        <v>49</v>
      </c>
      <c r="D2" s="1" t="s">
        <v>50</v>
      </c>
      <c r="E2" s="1" t="s">
        <v>51</v>
      </c>
      <c r="F2" s="1" t="s">
        <v>52</v>
      </c>
      <c r="G2" s="1" t="s">
        <v>53</v>
      </c>
      <c r="H2" s="1" t="s">
        <v>48</v>
      </c>
      <c r="I2" s="1" t="s">
        <v>49</v>
      </c>
      <c r="J2" s="1" t="s">
        <v>50</v>
      </c>
      <c r="K2" s="1" t="s">
        <v>51</v>
      </c>
      <c r="L2" s="1" t="s">
        <v>52</v>
      </c>
      <c r="M2" s="1" t="s">
        <v>53</v>
      </c>
      <c r="N2" s="1"/>
      <c r="O2" s="1"/>
    </row>
    <row r="3" spans="1:16" x14ac:dyDescent="0.4">
      <c r="A3" t="s">
        <v>0</v>
      </c>
      <c r="B3" t="e">
        <f ca="1">INDIRECT(A3 &amp; "!$H$111")</f>
        <v>#REF!</v>
      </c>
      <c r="C3" t="e">
        <f t="shared" ref="C3:C38" ca="1" si="0">INDIRECT(A3 &amp; "!$F$111")</f>
        <v>#REF!</v>
      </c>
      <c r="D3" t="e">
        <f t="shared" ref="D3:D38" ca="1" si="1">INDIRECT(A3 &amp; "!$G$111")</f>
        <v>#REF!</v>
      </c>
      <c r="E3" t="e">
        <f t="shared" ref="E3:E38" ca="1" si="2">20000-(200*D3)</f>
        <v>#REF!</v>
      </c>
      <c r="F3" t="e">
        <f ca="1">B3-E3-C3</f>
        <v>#REF!</v>
      </c>
      <c r="G3" s="2" t="e">
        <f ca="1">F3/(100-D3)</f>
        <v>#REF!</v>
      </c>
      <c r="H3" t="e">
        <f ca="1">INDIRECT(A3 &amp; "!$H$110")</f>
        <v>#REF!</v>
      </c>
      <c r="I3" t="e">
        <f ca="1">INDIRECT(A3 &amp; "!$F$110")</f>
        <v>#REF!</v>
      </c>
      <c r="J3" t="e">
        <f ca="1">INDIRECT(A3 &amp; "!$G$110")</f>
        <v>#REF!</v>
      </c>
      <c r="K3" t="e">
        <f ca="1">200-(2*J3)</f>
        <v>#REF!</v>
      </c>
      <c r="L3" t="e">
        <f ca="1">H3-K3-I3</f>
        <v>#REF!</v>
      </c>
      <c r="M3" s="2" t="e">
        <f ca="1">L3/(100-J3)</f>
        <v>#REF!</v>
      </c>
      <c r="N3" s="3" t="e">
        <f ca="1">L3/F3</f>
        <v>#REF!</v>
      </c>
      <c r="O3" t="e">
        <f ca="1">INDIRECT(A3 &amp; "!$B$105")</f>
        <v>#REF!</v>
      </c>
      <c r="P3" t="e">
        <f ca="1">(G3-(Q3+R3))/(S3+T3)</f>
        <v>#REF!</v>
      </c>
    </row>
    <row r="4" spans="1:16" x14ac:dyDescent="0.4">
      <c r="A4" t="s">
        <v>1</v>
      </c>
      <c r="B4" t="e">
        <f t="shared" ref="B4:B38" ca="1" si="3">INDIRECT(A4 &amp; "!$H$111")</f>
        <v>#REF!</v>
      </c>
      <c r="C4" t="e">
        <f t="shared" ca="1" si="0"/>
        <v>#REF!</v>
      </c>
      <c r="D4" t="e">
        <f t="shared" ca="1" si="1"/>
        <v>#REF!</v>
      </c>
      <c r="E4" t="e">
        <f t="shared" ca="1" si="2"/>
        <v>#REF!</v>
      </c>
      <c r="F4" t="e">
        <f t="shared" ref="F4:F38" ca="1" si="4">B4-E4-C4</f>
        <v>#REF!</v>
      </c>
      <c r="G4" s="2" t="e">
        <f t="shared" ref="G4:G38" ca="1" si="5">F4/(100-D4)</f>
        <v>#REF!</v>
      </c>
      <c r="H4" t="e">
        <f t="shared" ref="H4:H38" ca="1" si="6">INDIRECT(A4 &amp; "!$H$110")</f>
        <v>#REF!</v>
      </c>
      <c r="I4" t="e">
        <f t="shared" ref="I4:I38" ca="1" si="7">INDIRECT(A4 &amp; "!$F$110")</f>
        <v>#REF!</v>
      </c>
      <c r="J4" t="e">
        <f t="shared" ref="J4:J38" ca="1" si="8">INDIRECT(A4 &amp; "!$G$110")</f>
        <v>#REF!</v>
      </c>
      <c r="K4" t="e">
        <f t="shared" ref="K4:K38" ca="1" si="9">200-(2*J4)</f>
        <v>#REF!</v>
      </c>
      <c r="L4" t="e">
        <f t="shared" ref="L4:L38" ca="1" si="10">H4-K4-I4</f>
        <v>#REF!</v>
      </c>
      <c r="M4" s="2" t="e">
        <f t="shared" ref="M4:M38" ca="1" si="11">L4/(100-J4)</f>
        <v>#REF!</v>
      </c>
      <c r="N4" s="3" t="e">
        <f t="shared" ref="N4:N38" ca="1" si="12">L4/F4</f>
        <v>#REF!</v>
      </c>
      <c r="O4" t="e">
        <f t="shared" ref="O4:O38" ca="1" si="13">INDIRECT(A4 &amp; "!$B$105")</f>
        <v>#REF!</v>
      </c>
      <c r="P4" t="e">
        <f t="shared" ref="P4:P38" ca="1" si="14">(G4-(Q4+R4))/(S4+T4)</f>
        <v>#REF!</v>
      </c>
    </row>
    <row r="5" spans="1:16" x14ac:dyDescent="0.4">
      <c r="A5" t="s">
        <v>2</v>
      </c>
      <c r="B5" t="e">
        <f t="shared" ca="1" si="3"/>
        <v>#REF!</v>
      </c>
      <c r="C5" t="e">
        <f t="shared" ca="1" si="0"/>
        <v>#REF!</v>
      </c>
      <c r="D5" t="e">
        <f t="shared" ca="1" si="1"/>
        <v>#REF!</v>
      </c>
      <c r="E5" t="e">
        <f t="shared" ca="1" si="2"/>
        <v>#REF!</v>
      </c>
      <c r="F5" t="e">
        <f t="shared" ca="1" si="4"/>
        <v>#REF!</v>
      </c>
      <c r="G5" s="2" t="e">
        <f t="shared" ca="1" si="5"/>
        <v>#REF!</v>
      </c>
      <c r="H5" t="e">
        <f t="shared" ca="1" si="6"/>
        <v>#REF!</v>
      </c>
      <c r="I5" t="e">
        <f t="shared" ca="1" si="7"/>
        <v>#REF!</v>
      </c>
      <c r="J5" t="e">
        <f t="shared" ca="1" si="8"/>
        <v>#REF!</v>
      </c>
      <c r="K5" t="e">
        <f t="shared" ca="1" si="9"/>
        <v>#REF!</v>
      </c>
      <c r="L5" t="e">
        <f t="shared" ca="1" si="10"/>
        <v>#REF!</v>
      </c>
      <c r="M5" s="2" t="e">
        <f t="shared" ca="1" si="11"/>
        <v>#REF!</v>
      </c>
      <c r="N5" s="3" t="e">
        <f t="shared" ca="1" si="12"/>
        <v>#REF!</v>
      </c>
      <c r="O5" t="e">
        <f t="shared" ca="1" si="13"/>
        <v>#REF!</v>
      </c>
      <c r="P5" t="e">
        <f t="shared" ca="1" si="14"/>
        <v>#REF!</v>
      </c>
    </row>
    <row r="6" spans="1:16" x14ac:dyDescent="0.4">
      <c r="A6" t="s">
        <v>3</v>
      </c>
      <c r="B6" t="e">
        <f t="shared" ca="1" si="3"/>
        <v>#REF!</v>
      </c>
      <c r="C6" t="e">
        <f t="shared" ca="1" si="0"/>
        <v>#REF!</v>
      </c>
      <c r="D6" t="e">
        <f t="shared" ca="1" si="1"/>
        <v>#REF!</v>
      </c>
      <c r="E6" t="e">
        <f ca="1">20000-(200*D6)</f>
        <v>#REF!</v>
      </c>
      <c r="F6" t="e">
        <f t="shared" ca="1" si="4"/>
        <v>#REF!</v>
      </c>
      <c r="G6" s="2" t="e">
        <f t="shared" ca="1" si="5"/>
        <v>#REF!</v>
      </c>
      <c r="H6" t="e">
        <f t="shared" ca="1" si="6"/>
        <v>#REF!</v>
      </c>
      <c r="I6" t="e">
        <f t="shared" ca="1" si="7"/>
        <v>#REF!</v>
      </c>
      <c r="J6" t="e">
        <f t="shared" ca="1" si="8"/>
        <v>#REF!</v>
      </c>
      <c r="K6" t="e">
        <f t="shared" ca="1" si="9"/>
        <v>#REF!</v>
      </c>
      <c r="L6" t="e">
        <f t="shared" ca="1" si="10"/>
        <v>#REF!</v>
      </c>
      <c r="M6" s="2" t="e">
        <f t="shared" ca="1" si="11"/>
        <v>#REF!</v>
      </c>
      <c r="N6" s="3" t="e">
        <f t="shared" ca="1" si="12"/>
        <v>#REF!</v>
      </c>
      <c r="O6" t="e">
        <f t="shared" ca="1" si="13"/>
        <v>#REF!</v>
      </c>
      <c r="P6" t="e">
        <f t="shared" ca="1" si="14"/>
        <v>#REF!</v>
      </c>
    </row>
    <row r="7" spans="1:16" x14ac:dyDescent="0.4">
      <c r="A7" t="s">
        <v>4</v>
      </c>
      <c r="B7" t="e">
        <f t="shared" ca="1" si="3"/>
        <v>#REF!</v>
      </c>
      <c r="C7" t="e">
        <f t="shared" ca="1" si="0"/>
        <v>#REF!</v>
      </c>
      <c r="D7" t="e">
        <f t="shared" ca="1" si="1"/>
        <v>#REF!</v>
      </c>
      <c r="E7" t="e">
        <f t="shared" ca="1" si="2"/>
        <v>#REF!</v>
      </c>
      <c r="F7" t="e">
        <f t="shared" ca="1" si="4"/>
        <v>#REF!</v>
      </c>
      <c r="G7" s="2" t="e">
        <f t="shared" ca="1" si="5"/>
        <v>#REF!</v>
      </c>
      <c r="H7" t="e">
        <f t="shared" ca="1" si="6"/>
        <v>#REF!</v>
      </c>
      <c r="I7" t="e">
        <f t="shared" ca="1" si="7"/>
        <v>#REF!</v>
      </c>
      <c r="J7" t="e">
        <f t="shared" ca="1" si="8"/>
        <v>#REF!</v>
      </c>
      <c r="K7" t="e">
        <f t="shared" ca="1" si="9"/>
        <v>#REF!</v>
      </c>
      <c r="L7" t="e">
        <f t="shared" ca="1" si="10"/>
        <v>#REF!</v>
      </c>
      <c r="M7" s="2" t="e">
        <f t="shared" ca="1" si="11"/>
        <v>#REF!</v>
      </c>
      <c r="N7" s="3" t="e">
        <f t="shared" ca="1" si="12"/>
        <v>#REF!</v>
      </c>
      <c r="O7" t="e">
        <f t="shared" ca="1" si="13"/>
        <v>#REF!</v>
      </c>
      <c r="P7" t="e">
        <f t="shared" ca="1" si="14"/>
        <v>#REF!</v>
      </c>
    </row>
    <row r="8" spans="1:16" x14ac:dyDescent="0.4">
      <c r="A8" t="s">
        <v>5</v>
      </c>
      <c r="B8" t="e">
        <f t="shared" ca="1" si="3"/>
        <v>#REF!</v>
      </c>
      <c r="C8" t="e">
        <f t="shared" ca="1" si="0"/>
        <v>#REF!</v>
      </c>
      <c r="D8" t="e">
        <f t="shared" ca="1" si="1"/>
        <v>#REF!</v>
      </c>
      <c r="E8" t="e">
        <f t="shared" ca="1" si="2"/>
        <v>#REF!</v>
      </c>
      <c r="F8" t="e">
        <f t="shared" ca="1" si="4"/>
        <v>#REF!</v>
      </c>
      <c r="G8" s="2" t="e">
        <f t="shared" ca="1" si="5"/>
        <v>#REF!</v>
      </c>
      <c r="H8" t="e">
        <f t="shared" ca="1" si="6"/>
        <v>#REF!</v>
      </c>
      <c r="I8" t="e">
        <f t="shared" ca="1" si="7"/>
        <v>#REF!</v>
      </c>
      <c r="J8" t="e">
        <f t="shared" ca="1" si="8"/>
        <v>#REF!</v>
      </c>
      <c r="K8" t="e">
        <f t="shared" ca="1" si="9"/>
        <v>#REF!</v>
      </c>
      <c r="L8" t="e">
        <f t="shared" ca="1" si="10"/>
        <v>#REF!</v>
      </c>
      <c r="M8" s="2" t="e">
        <f t="shared" ca="1" si="11"/>
        <v>#REF!</v>
      </c>
      <c r="N8" s="3" t="e">
        <f t="shared" ca="1" si="12"/>
        <v>#REF!</v>
      </c>
      <c r="O8" t="e">
        <f t="shared" ca="1" si="13"/>
        <v>#REF!</v>
      </c>
      <c r="P8" t="e">
        <f t="shared" ca="1" si="14"/>
        <v>#REF!</v>
      </c>
    </row>
    <row r="9" spans="1:16" x14ac:dyDescent="0.4">
      <c r="A9" t="s">
        <v>6</v>
      </c>
      <c r="B9" t="e">
        <f t="shared" ca="1" si="3"/>
        <v>#REF!</v>
      </c>
      <c r="C9" t="e">
        <f t="shared" ca="1" si="0"/>
        <v>#REF!</v>
      </c>
      <c r="D9" t="e">
        <f t="shared" ca="1" si="1"/>
        <v>#REF!</v>
      </c>
      <c r="E9" t="e">
        <f t="shared" ca="1" si="2"/>
        <v>#REF!</v>
      </c>
      <c r="F9" t="e">
        <f t="shared" ca="1" si="4"/>
        <v>#REF!</v>
      </c>
      <c r="G9" s="2" t="e">
        <f t="shared" ca="1" si="5"/>
        <v>#REF!</v>
      </c>
      <c r="H9" t="e">
        <f t="shared" ca="1" si="6"/>
        <v>#REF!</v>
      </c>
      <c r="I9" t="e">
        <f t="shared" ca="1" si="7"/>
        <v>#REF!</v>
      </c>
      <c r="J9" t="e">
        <f t="shared" ca="1" si="8"/>
        <v>#REF!</v>
      </c>
      <c r="K9" t="e">
        <f t="shared" ca="1" si="9"/>
        <v>#REF!</v>
      </c>
      <c r="L9" t="e">
        <f t="shared" ca="1" si="10"/>
        <v>#REF!</v>
      </c>
      <c r="M9" s="2" t="e">
        <f t="shared" ca="1" si="11"/>
        <v>#REF!</v>
      </c>
      <c r="N9" s="3" t="e">
        <f t="shared" ca="1" si="12"/>
        <v>#REF!</v>
      </c>
      <c r="O9" t="e">
        <f t="shared" ca="1" si="13"/>
        <v>#REF!</v>
      </c>
      <c r="P9" t="e">
        <f t="shared" ca="1" si="14"/>
        <v>#REF!</v>
      </c>
    </row>
    <row r="10" spans="1:16" x14ac:dyDescent="0.4">
      <c r="A10" t="s">
        <v>7</v>
      </c>
      <c r="B10" t="e">
        <f t="shared" ca="1" si="3"/>
        <v>#REF!</v>
      </c>
      <c r="C10" t="e">
        <f t="shared" ca="1" si="0"/>
        <v>#REF!</v>
      </c>
      <c r="D10" t="e">
        <f t="shared" ca="1" si="1"/>
        <v>#REF!</v>
      </c>
      <c r="E10" t="e">
        <f t="shared" ca="1" si="2"/>
        <v>#REF!</v>
      </c>
      <c r="F10" t="e">
        <f t="shared" ca="1" si="4"/>
        <v>#REF!</v>
      </c>
      <c r="G10" s="2" t="e">
        <f t="shared" ca="1" si="5"/>
        <v>#REF!</v>
      </c>
      <c r="H10" t="e">
        <f t="shared" ca="1" si="6"/>
        <v>#REF!</v>
      </c>
      <c r="I10" t="e">
        <f t="shared" ca="1" si="7"/>
        <v>#REF!</v>
      </c>
      <c r="J10" t="e">
        <f t="shared" ca="1" si="8"/>
        <v>#REF!</v>
      </c>
      <c r="K10" t="e">
        <f t="shared" ca="1" si="9"/>
        <v>#REF!</v>
      </c>
      <c r="L10" t="e">
        <f t="shared" ca="1" si="10"/>
        <v>#REF!</v>
      </c>
      <c r="M10" s="2" t="e">
        <f t="shared" ca="1" si="11"/>
        <v>#REF!</v>
      </c>
      <c r="N10" s="3" t="e">
        <f t="shared" ca="1" si="12"/>
        <v>#REF!</v>
      </c>
      <c r="O10" t="e">
        <f t="shared" ca="1" si="13"/>
        <v>#REF!</v>
      </c>
      <c r="P10" t="e">
        <f t="shared" ca="1" si="14"/>
        <v>#REF!</v>
      </c>
    </row>
    <row r="11" spans="1:16" x14ac:dyDescent="0.4">
      <c r="A11" t="s">
        <v>8</v>
      </c>
      <c r="B11" t="e">
        <f t="shared" ca="1" si="3"/>
        <v>#REF!</v>
      </c>
      <c r="C11" t="e">
        <f t="shared" ca="1" si="0"/>
        <v>#REF!</v>
      </c>
      <c r="D11" t="e">
        <f t="shared" ca="1" si="1"/>
        <v>#REF!</v>
      </c>
      <c r="E11" t="e">
        <f t="shared" ca="1" si="2"/>
        <v>#REF!</v>
      </c>
      <c r="F11" t="e">
        <f t="shared" ca="1" si="4"/>
        <v>#REF!</v>
      </c>
      <c r="G11" s="2" t="e">
        <f t="shared" ca="1" si="5"/>
        <v>#REF!</v>
      </c>
      <c r="H11" t="e">
        <f t="shared" ca="1" si="6"/>
        <v>#REF!</v>
      </c>
      <c r="I11" t="e">
        <f t="shared" ca="1" si="7"/>
        <v>#REF!</v>
      </c>
      <c r="J11" t="e">
        <f t="shared" ca="1" si="8"/>
        <v>#REF!</v>
      </c>
      <c r="K11" t="e">
        <f t="shared" ca="1" si="9"/>
        <v>#REF!</v>
      </c>
      <c r="L11" t="e">
        <f t="shared" ca="1" si="10"/>
        <v>#REF!</v>
      </c>
      <c r="M11" s="2" t="e">
        <f t="shared" ca="1" si="11"/>
        <v>#REF!</v>
      </c>
      <c r="N11" s="3" t="e">
        <f t="shared" ca="1" si="12"/>
        <v>#REF!</v>
      </c>
      <c r="O11" t="e">
        <f t="shared" ca="1" si="13"/>
        <v>#REF!</v>
      </c>
      <c r="P11" t="e">
        <f t="shared" ca="1" si="14"/>
        <v>#REF!</v>
      </c>
    </row>
    <row r="12" spans="1:16" x14ac:dyDescent="0.4">
      <c r="A12" t="s">
        <v>9</v>
      </c>
      <c r="B12" t="e">
        <f t="shared" ca="1" si="3"/>
        <v>#REF!</v>
      </c>
      <c r="C12" t="e">
        <f t="shared" ca="1" si="0"/>
        <v>#REF!</v>
      </c>
      <c r="D12" t="e">
        <f t="shared" ca="1" si="1"/>
        <v>#REF!</v>
      </c>
      <c r="E12" t="e">
        <f t="shared" ca="1" si="2"/>
        <v>#REF!</v>
      </c>
      <c r="F12" t="e">
        <f t="shared" ca="1" si="4"/>
        <v>#REF!</v>
      </c>
      <c r="G12" s="2" t="e">
        <f t="shared" ca="1" si="5"/>
        <v>#REF!</v>
      </c>
      <c r="H12" t="e">
        <f t="shared" ca="1" si="6"/>
        <v>#REF!</v>
      </c>
      <c r="I12" t="e">
        <f t="shared" ca="1" si="7"/>
        <v>#REF!</v>
      </c>
      <c r="J12" t="e">
        <f t="shared" ca="1" si="8"/>
        <v>#REF!</v>
      </c>
      <c r="K12" t="e">
        <f t="shared" ca="1" si="9"/>
        <v>#REF!</v>
      </c>
      <c r="L12" t="e">
        <f t="shared" ca="1" si="10"/>
        <v>#REF!</v>
      </c>
      <c r="M12" s="2" t="e">
        <f t="shared" ca="1" si="11"/>
        <v>#REF!</v>
      </c>
      <c r="N12" s="3" t="e">
        <f t="shared" ca="1" si="12"/>
        <v>#REF!</v>
      </c>
      <c r="O12" t="e">
        <f t="shared" ca="1" si="13"/>
        <v>#REF!</v>
      </c>
      <c r="P12" t="e">
        <f t="shared" ca="1" si="14"/>
        <v>#REF!</v>
      </c>
    </row>
    <row r="13" spans="1:16" x14ac:dyDescent="0.4">
      <c r="A13" t="s">
        <v>10</v>
      </c>
      <c r="B13" t="e">
        <f t="shared" ca="1" si="3"/>
        <v>#REF!</v>
      </c>
      <c r="C13" t="e">
        <f t="shared" ca="1" si="0"/>
        <v>#REF!</v>
      </c>
      <c r="D13" t="e">
        <f t="shared" ca="1" si="1"/>
        <v>#REF!</v>
      </c>
      <c r="E13" t="e">
        <f t="shared" ca="1" si="2"/>
        <v>#REF!</v>
      </c>
      <c r="F13" t="e">
        <f t="shared" ca="1" si="4"/>
        <v>#REF!</v>
      </c>
      <c r="G13" s="2" t="e">
        <f t="shared" ca="1" si="5"/>
        <v>#REF!</v>
      </c>
      <c r="H13" t="e">
        <f t="shared" ca="1" si="6"/>
        <v>#REF!</v>
      </c>
      <c r="I13" t="e">
        <f t="shared" ca="1" si="7"/>
        <v>#REF!</v>
      </c>
      <c r="J13" t="e">
        <f t="shared" ca="1" si="8"/>
        <v>#REF!</v>
      </c>
      <c r="K13" t="e">
        <f t="shared" ca="1" si="9"/>
        <v>#REF!</v>
      </c>
      <c r="L13" t="e">
        <f t="shared" ca="1" si="10"/>
        <v>#REF!</v>
      </c>
      <c r="M13" s="2" t="e">
        <f t="shared" ca="1" si="11"/>
        <v>#REF!</v>
      </c>
      <c r="N13" s="3" t="e">
        <f t="shared" ca="1" si="12"/>
        <v>#REF!</v>
      </c>
      <c r="O13" t="e">
        <f t="shared" ca="1" si="13"/>
        <v>#REF!</v>
      </c>
      <c r="P13" t="e">
        <f t="shared" ca="1" si="14"/>
        <v>#REF!</v>
      </c>
    </row>
    <row r="14" spans="1:16" x14ac:dyDescent="0.4">
      <c r="A14" t="s">
        <v>11</v>
      </c>
      <c r="B14" t="e">
        <f t="shared" ca="1" si="3"/>
        <v>#REF!</v>
      </c>
      <c r="C14" t="e">
        <f t="shared" ca="1" si="0"/>
        <v>#REF!</v>
      </c>
      <c r="D14" t="e">
        <f t="shared" ca="1" si="1"/>
        <v>#REF!</v>
      </c>
      <c r="E14" t="e">
        <f t="shared" ca="1" si="2"/>
        <v>#REF!</v>
      </c>
      <c r="F14" t="e">
        <f t="shared" ca="1" si="4"/>
        <v>#REF!</v>
      </c>
      <c r="G14" s="2" t="e">
        <f t="shared" ca="1" si="5"/>
        <v>#REF!</v>
      </c>
      <c r="H14" t="e">
        <f t="shared" ca="1" si="6"/>
        <v>#REF!</v>
      </c>
      <c r="I14" t="e">
        <f t="shared" ca="1" si="7"/>
        <v>#REF!</v>
      </c>
      <c r="J14" t="e">
        <f t="shared" ca="1" si="8"/>
        <v>#REF!</v>
      </c>
      <c r="K14" t="e">
        <f t="shared" ca="1" si="9"/>
        <v>#REF!</v>
      </c>
      <c r="L14" t="e">
        <f t="shared" ca="1" si="10"/>
        <v>#REF!</v>
      </c>
      <c r="M14" s="2" t="e">
        <f t="shared" ca="1" si="11"/>
        <v>#REF!</v>
      </c>
      <c r="N14" s="3" t="e">
        <f t="shared" ca="1" si="12"/>
        <v>#REF!</v>
      </c>
      <c r="O14" t="e">
        <f t="shared" ca="1" si="13"/>
        <v>#REF!</v>
      </c>
      <c r="P14" t="e">
        <f t="shared" ca="1" si="14"/>
        <v>#REF!</v>
      </c>
    </row>
    <row r="15" spans="1:16" x14ac:dyDescent="0.4">
      <c r="A15" t="s">
        <v>12</v>
      </c>
      <c r="B15" t="e">
        <f t="shared" ca="1" si="3"/>
        <v>#REF!</v>
      </c>
      <c r="C15" t="e">
        <f t="shared" ca="1" si="0"/>
        <v>#REF!</v>
      </c>
      <c r="D15" t="e">
        <f t="shared" ca="1" si="1"/>
        <v>#REF!</v>
      </c>
      <c r="E15" t="e">
        <f t="shared" ca="1" si="2"/>
        <v>#REF!</v>
      </c>
      <c r="F15" t="e">
        <f t="shared" ca="1" si="4"/>
        <v>#REF!</v>
      </c>
      <c r="G15" s="2" t="e">
        <f t="shared" ca="1" si="5"/>
        <v>#REF!</v>
      </c>
      <c r="H15" t="e">
        <f t="shared" ca="1" si="6"/>
        <v>#REF!</v>
      </c>
      <c r="I15" t="e">
        <f t="shared" ca="1" si="7"/>
        <v>#REF!</v>
      </c>
      <c r="J15" t="e">
        <f t="shared" ca="1" si="8"/>
        <v>#REF!</v>
      </c>
      <c r="K15" t="e">
        <f t="shared" ca="1" si="9"/>
        <v>#REF!</v>
      </c>
      <c r="L15" t="e">
        <f t="shared" ca="1" si="10"/>
        <v>#REF!</v>
      </c>
      <c r="M15" s="2" t="e">
        <f t="shared" ca="1" si="11"/>
        <v>#REF!</v>
      </c>
      <c r="N15" s="3" t="e">
        <f t="shared" ca="1" si="12"/>
        <v>#REF!</v>
      </c>
      <c r="O15" t="e">
        <f t="shared" ca="1" si="13"/>
        <v>#REF!</v>
      </c>
      <c r="P15" t="e">
        <f t="shared" ca="1" si="14"/>
        <v>#REF!</v>
      </c>
    </row>
    <row r="16" spans="1:16" x14ac:dyDescent="0.4">
      <c r="A16" t="s">
        <v>13</v>
      </c>
      <c r="B16" t="e">
        <f t="shared" ca="1" si="3"/>
        <v>#REF!</v>
      </c>
      <c r="C16" t="e">
        <f t="shared" ca="1" si="0"/>
        <v>#REF!</v>
      </c>
      <c r="D16" t="e">
        <f t="shared" ca="1" si="1"/>
        <v>#REF!</v>
      </c>
      <c r="E16" t="e">
        <f t="shared" ca="1" si="2"/>
        <v>#REF!</v>
      </c>
      <c r="F16" t="e">
        <f t="shared" ca="1" si="4"/>
        <v>#REF!</v>
      </c>
      <c r="G16" s="2" t="e">
        <f t="shared" ca="1" si="5"/>
        <v>#REF!</v>
      </c>
      <c r="H16" t="e">
        <f t="shared" ca="1" si="6"/>
        <v>#REF!</v>
      </c>
      <c r="I16" t="e">
        <f t="shared" ca="1" si="7"/>
        <v>#REF!</v>
      </c>
      <c r="J16" t="e">
        <f t="shared" ca="1" si="8"/>
        <v>#REF!</v>
      </c>
      <c r="K16" t="e">
        <f t="shared" ca="1" si="9"/>
        <v>#REF!</v>
      </c>
      <c r="L16" t="e">
        <f t="shared" ca="1" si="10"/>
        <v>#REF!</v>
      </c>
      <c r="M16" s="2" t="e">
        <f t="shared" ca="1" si="11"/>
        <v>#REF!</v>
      </c>
      <c r="N16" s="3" t="e">
        <f t="shared" ca="1" si="12"/>
        <v>#REF!</v>
      </c>
      <c r="O16" t="e">
        <f t="shared" ca="1" si="13"/>
        <v>#REF!</v>
      </c>
      <c r="P16" t="e">
        <f t="shared" ca="1" si="14"/>
        <v>#REF!</v>
      </c>
    </row>
    <row r="17" spans="1:16" x14ac:dyDescent="0.4">
      <c r="A17" t="s">
        <v>14</v>
      </c>
      <c r="B17" t="e">
        <f t="shared" ca="1" si="3"/>
        <v>#REF!</v>
      </c>
      <c r="C17" t="e">
        <f t="shared" ca="1" si="0"/>
        <v>#REF!</v>
      </c>
      <c r="D17" t="e">
        <f t="shared" ca="1" si="1"/>
        <v>#REF!</v>
      </c>
      <c r="E17" t="e">
        <f t="shared" ca="1" si="2"/>
        <v>#REF!</v>
      </c>
      <c r="F17" t="e">
        <f t="shared" ca="1" si="4"/>
        <v>#REF!</v>
      </c>
      <c r="G17" s="2" t="e">
        <f t="shared" ca="1" si="5"/>
        <v>#REF!</v>
      </c>
      <c r="H17" t="e">
        <f t="shared" ca="1" si="6"/>
        <v>#REF!</v>
      </c>
      <c r="I17" t="e">
        <f t="shared" ca="1" si="7"/>
        <v>#REF!</v>
      </c>
      <c r="J17" t="e">
        <f t="shared" ca="1" si="8"/>
        <v>#REF!</v>
      </c>
      <c r="K17" t="e">
        <f t="shared" ca="1" si="9"/>
        <v>#REF!</v>
      </c>
      <c r="L17" t="e">
        <f t="shared" ca="1" si="10"/>
        <v>#REF!</v>
      </c>
      <c r="M17" s="2" t="e">
        <f t="shared" ca="1" si="11"/>
        <v>#REF!</v>
      </c>
      <c r="N17" s="3" t="e">
        <f t="shared" ca="1" si="12"/>
        <v>#REF!</v>
      </c>
      <c r="O17" t="e">
        <f t="shared" ca="1" si="13"/>
        <v>#REF!</v>
      </c>
      <c r="P17" t="e">
        <f t="shared" ca="1" si="14"/>
        <v>#REF!</v>
      </c>
    </row>
    <row r="18" spans="1:16" x14ac:dyDescent="0.4">
      <c r="A18" t="s">
        <v>15</v>
      </c>
      <c r="B18" t="e">
        <f t="shared" ca="1" si="3"/>
        <v>#REF!</v>
      </c>
      <c r="C18" t="e">
        <f t="shared" ca="1" si="0"/>
        <v>#REF!</v>
      </c>
      <c r="D18" t="e">
        <f t="shared" ca="1" si="1"/>
        <v>#REF!</v>
      </c>
      <c r="E18" t="e">
        <f t="shared" ca="1" si="2"/>
        <v>#REF!</v>
      </c>
      <c r="F18" t="e">
        <f t="shared" ca="1" si="4"/>
        <v>#REF!</v>
      </c>
      <c r="G18" s="2" t="e">
        <f t="shared" ca="1" si="5"/>
        <v>#REF!</v>
      </c>
      <c r="H18" t="e">
        <f t="shared" ca="1" si="6"/>
        <v>#REF!</v>
      </c>
      <c r="I18" t="e">
        <f t="shared" ca="1" si="7"/>
        <v>#REF!</v>
      </c>
      <c r="J18" t="e">
        <f t="shared" ca="1" si="8"/>
        <v>#REF!</v>
      </c>
      <c r="K18" t="e">
        <f t="shared" ca="1" si="9"/>
        <v>#REF!</v>
      </c>
      <c r="L18" t="e">
        <f t="shared" ca="1" si="10"/>
        <v>#REF!</v>
      </c>
      <c r="M18" s="2" t="e">
        <f t="shared" ca="1" si="11"/>
        <v>#REF!</v>
      </c>
      <c r="N18" s="3" t="e">
        <f t="shared" ca="1" si="12"/>
        <v>#REF!</v>
      </c>
      <c r="O18" t="e">
        <f t="shared" ca="1" si="13"/>
        <v>#REF!</v>
      </c>
      <c r="P18" t="e">
        <f t="shared" ca="1" si="14"/>
        <v>#REF!</v>
      </c>
    </row>
    <row r="19" spans="1:16" x14ac:dyDescent="0.4">
      <c r="A19" t="s">
        <v>16</v>
      </c>
      <c r="B19" t="e">
        <f t="shared" ca="1" si="3"/>
        <v>#REF!</v>
      </c>
      <c r="C19" t="e">
        <f t="shared" ca="1" si="0"/>
        <v>#REF!</v>
      </c>
      <c r="D19" t="e">
        <f t="shared" ca="1" si="1"/>
        <v>#REF!</v>
      </c>
      <c r="E19" t="e">
        <f t="shared" ca="1" si="2"/>
        <v>#REF!</v>
      </c>
      <c r="F19" t="e">
        <f t="shared" ca="1" si="4"/>
        <v>#REF!</v>
      </c>
      <c r="G19" s="2" t="e">
        <f t="shared" ca="1" si="5"/>
        <v>#REF!</v>
      </c>
      <c r="H19" t="e">
        <f t="shared" ca="1" si="6"/>
        <v>#REF!</v>
      </c>
      <c r="I19" t="e">
        <f t="shared" ca="1" si="7"/>
        <v>#REF!</v>
      </c>
      <c r="J19" t="e">
        <f t="shared" ca="1" si="8"/>
        <v>#REF!</v>
      </c>
      <c r="K19" t="e">
        <f t="shared" ca="1" si="9"/>
        <v>#REF!</v>
      </c>
      <c r="L19" t="e">
        <f t="shared" ca="1" si="10"/>
        <v>#REF!</v>
      </c>
      <c r="M19" s="2" t="e">
        <f t="shared" ca="1" si="11"/>
        <v>#REF!</v>
      </c>
      <c r="N19" s="3" t="e">
        <f t="shared" ca="1" si="12"/>
        <v>#REF!</v>
      </c>
      <c r="O19" t="e">
        <f t="shared" ca="1" si="13"/>
        <v>#REF!</v>
      </c>
      <c r="P19" t="e">
        <f t="shared" ca="1" si="14"/>
        <v>#REF!</v>
      </c>
    </row>
    <row r="20" spans="1:16" x14ac:dyDescent="0.4">
      <c r="A20" t="s">
        <v>17</v>
      </c>
      <c r="B20" t="e">
        <f t="shared" ca="1" si="3"/>
        <v>#REF!</v>
      </c>
      <c r="C20" t="e">
        <f t="shared" ca="1" si="0"/>
        <v>#REF!</v>
      </c>
      <c r="D20" t="e">
        <f t="shared" ca="1" si="1"/>
        <v>#REF!</v>
      </c>
      <c r="E20" t="e">
        <f t="shared" ca="1" si="2"/>
        <v>#REF!</v>
      </c>
      <c r="F20" t="e">
        <f t="shared" ca="1" si="4"/>
        <v>#REF!</v>
      </c>
      <c r="G20" s="2" t="e">
        <f t="shared" ca="1" si="5"/>
        <v>#REF!</v>
      </c>
      <c r="H20" t="e">
        <f t="shared" ca="1" si="6"/>
        <v>#REF!</v>
      </c>
      <c r="I20" t="e">
        <f t="shared" ca="1" si="7"/>
        <v>#REF!</v>
      </c>
      <c r="J20" t="e">
        <f t="shared" ca="1" si="8"/>
        <v>#REF!</v>
      </c>
      <c r="K20" t="e">
        <f t="shared" ca="1" si="9"/>
        <v>#REF!</v>
      </c>
      <c r="L20" t="e">
        <f t="shared" ca="1" si="10"/>
        <v>#REF!</v>
      </c>
      <c r="M20" s="2" t="e">
        <f t="shared" ca="1" si="11"/>
        <v>#REF!</v>
      </c>
      <c r="N20" s="3" t="e">
        <f t="shared" ca="1" si="12"/>
        <v>#REF!</v>
      </c>
      <c r="O20" t="e">
        <f t="shared" ca="1" si="13"/>
        <v>#REF!</v>
      </c>
      <c r="P20" t="e">
        <f t="shared" ca="1" si="14"/>
        <v>#REF!</v>
      </c>
    </row>
    <row r="21" spans="1:16" x14ac:dyDescent="0.4">
      <c r="A21" t="s">
        <v>18</v>
      </c>
      <c r="B21" t="e">
        <f t="shared" ca="1" si="3"/>
        <v>#REF!</v>
      </c>
      <c r="C21" t="e">
        <f t="shared" ca="1" si="0"/>
        <v>#REF!</v>
      </c>
      <c r="D21" t="e">
        <f t="shared" ca="1" si="1"/>
        <v>#REF!</v>
      </c>
      <c r="E21" t="e">
        <f t="shared" ca="1" si="2"/>
        <v>#REF!</v>
      </c>
      <c r="F21" t="e">
        <f t="shared" ca="1" si="4"/>
        <v>#REF!</v>
      </c>
      <c r="G21" s="2" t="e">
        <f t="shared" ca="1" si="5"/>
        <v>#REF!</v>
      </c>
      <c r="H21" t="e">
        <f t="shared" ca="1" si="6"/>
        <v>#REF!</v>
      </c>
      <c r="I21" t="e">
        <f t="shared" ca="1" si="7"/>
        <v>#REF!</v>
      </c>
      <c r="J21" t="e">
        <f t="shared" ca="1" si="8"/>
        <v>#REF!</v>
      </c>
      <c r="K21" t="e">
        <f t="shared" ca="1" si="9"/>
        <v>#REF!</v>
      </c>
      <c r="L21" t="e">
        <f t="shared" ca="1" si="10"/>
        <v>#REF!</v>
      </c>
      <c r="M21" s="2" t="e">
        <f t="shared" ca="1" si="11"/>
        <v>#REF!</v>
      </c>
      <c r="N21" s="3" t="e">
        <f t="shared" ca="1" si="12"/>
        <v>#REF!</v>
      </c>
      <c r="O21" t="e">
        <f t="shared" ca="1" si="13"/>
        <v>#REF!</v>
      </c>
      <c r="P21" t="e">
        <f t="shared" ca="1" si="14"/>
        <v>#REF!</v>
      </c>
    </row>
    <row r="22" spans="1:16" x14ac:dyDescent="0.4">
      <c r="A22" t="s">
        <v>19</v>
      </c>
      <c r="B22" t="e">
        <f t="shared" ca="1" si="3"/>
        <v>#REF!</v>
      </c>
      <c r="C22" t="e">
        <f t="shared" ca="1" si="0"/>
        <v>#REF!</v>
      </c>
      <c r="D22" t="e">
        <f t="shared" ca="1" si="1"/>
        <v>#REF!</v>
      </c>
      <c r="E22" t="e">
        <f t="shared" ca="1" si="2"/>
        <v>#REF!</v>
      </c>
      <c r="F22" t="e">
        <f t="shared" ca="1" si="4"/>
        <v>#REF!</v>
      </c>
      <c r="G22" s="2" t="e">
        <f t="shared" ca="1" si="5"/>
        <v>#REF!</v>
      </c>
      <c r="H22" t="e">
        <f t="shared" ca="1" si="6"/>
        <v>#REF!</v>
      </c>
      <c r="I22" t="e">
        <f t="shared" ca="1" si="7"/>
        <v>#REF!</v>
      </c>
      <c r="J22" t="e">
        <f t="shared" ca="1" si="8"/>
        <v>#REF!</v>
      </c>
      <c r="K22" t="e">
        <f t="shared" ca="1" si="9"/>
        <v>#REF!</v>
      </c>
      <c r="L22" t="e">
        <f t="shared" ca="1" si="10"/>
        <v>#REF!</v>
      </c>
      <c r="M22" s="2" t="e">
        <f t="shared" ca="1" si="11"/>
        <v>#REF!</v>
      </c>
      <c r="N22" s="3" t="e">
        <f t="shared" ca="1" si="12"/>
        <v>#REF!</v>
      </c>
      <c r="O22" t="e">
        <f t="shared" ca="1" si="13"/>
        <v>#REF!</v>
      </c>
      <c r="P22" t="e">
        <f t="shared" ca="1" si="14"/>
        <v>#REF!</v>
      </c>
    </row>
    <row r="23" spans="1:16" x14ac:dyDescent="0.4">
      <c r="A23" t="s">
        <v>20</v>
      </c>
      <c r="B23" t="e">
        <f t="shared" ca="1" si="3"/>
        <v>#REF!</v>
      </c>
      <c r="C23" t="e">
        <f t="shared" ca="1" si="0"/>
        <v>#REF!</v>
      </c>
      <c r="D23" t="e">
        <f t="shared" ca="1" si="1"/>
        <v>#REF!</v>
      </c>
      <c r="E23" t="e">
        <f t="shared" ca="1" si="2"/>
        <v>#REF!</v>
      </c>
      <c r="F23" t="e">
        <f t="shared" ca="1" si="4"/>
        <v>#REF!</v>
      </c>
      <c r="G23" s="2" t="e">
        <f t="shared" ca="1" si="5"/>
        <v>#REF!</v>
      </c>
      <c r="H23" t="e">
        <f t="shared" ca="1" si="6"/>
        <v>#REF!</v>
      </c>
      <c r="I23" t="e">
        <f t="shared" ca="1" si="7"/>
        <v>#REF!</v>
      </c>
      <c r="J23" t="e">
        <f t="shared" ca="1" si="8"/>
        <v>#REF!</v>
      </c>
      <c r="K23" t="e">
        <f t="shared" ca="1" si="9"/>
        <v>#REF!</v>
      </c>
      <c r="L23" t="e">
        <f t="shared" ca="1" si="10"/>
        <v>#REF!</v>
      </c>
      <c r="M23" s="2" t="e">
        <f t="shared" ca="1" si="11"/>
        <v>#REF!</v>
      </c>
      <c r="N23" s="3" t="e">
        <f t="shared" ca="1" si="12"/>
        <v>#REF!</v>
      </c>
      <c r="O23" t="e">
        <f t="shared" ca="1" si="13"/>
        <v>#REF!</v>
      </c>
      <c r="P23" t="e">
        <f t="shared" ca="1" si="14"/>
        <v>#REF!</v>
      </c>
    </row>
    <row r="24" spans="1:16" x14ac:dyDescent="0.4">
      <c r="A24" t="s">
        <v>21</v>
      </c>
      <c r="B24" t="e">
        <f t="shared" ca="1" si="3"/>
        <v>#REF!</v>
      </c>
      <c r="C24" t="e">
        <f t="shared" ca="1" si="0"/>
        <v>#REF!</v>
      </c>
      <c r="D24" t="e">
        <f t="shared" ca="1" si="1"/>
        <v>#REF!</v>
      </c>
      <c r="E24" t="e">
        <f t="shared" ca="1" si="2"/>
        <v>#REF!</v>
      </c>
      <c r="F24" t="e">
        <f t="shared" ca="1" si="4"/>
        <v>#REF!</v>
      </c>
      <c r="G24" s="2" t="e">
        <f t="shared" ca="1" si="5"/>
        <v>#REF!</v>
      </c>
      <c r="H24" t="e">
        <f t="shared" ca="1" si="6"/>
        <v>#REF!</v>
      </c>
      <c r="I24" t="e">
        <f t="shared" ca="1" si="7"/>
        <v>#REF!</v>
      </c>
      <c r="J24" t="e">
        <f t="shared" ca="1" si="8"/>
        <v>#REF!</v>
      </c>
      <c r="K24" t="e">
        <f t="shared" ca="1" si="9"/>
        <v>#REF!</v>
      </c>
      <c r="L24" t="e">
        <f t="shared" ca="1" si="10"/>
        <v>#REF!</v>
      </c>
      <c r="M24" s="2" t="e">
        <f t="shared" ca="1" si="11"/>
        <v>#REF!</v>
      </c>
      <c r="N24" s="3" t="e">
        <f t="shared" ca="1" si="12"/>
        <v>#REF!</v>
      </c>
      <c r="O24" t="e">
        <f t="shared" ca="1" si="13"/>
        <v>#REF!</v>
      </c>
      <c r="P24" t="e">
        <f t="shared" ca="1" si="14"/>
        <v>#REF!</v>
      </c>
    </row>
    <row r="25" spans="1:16" x14ac:dyDescent="0.4">
      <c r="A25" t="s">
        <v>22</v>
      </c>
      <c r="B25" t="e">
        <f t="shared" ca="1" si="3"/>
        <v>#REF!</v>
      </c>
      <c r="C25" t="e">
        <f t="shared" ca="1" si="0"/>
        <v>#REF!</v>
      </c>
      <c r="D25" t="e">
        <f t="shared" ca="1" si="1"/>
        <v>#REF!</v>
      </c>
      <c r="E25" t="e">
        <f t="shared" ca="1" si="2"/>
        <v>#REF!</v>
      </c>
      <c r="F25" t="e">
        <f ca="1">B25-E25-C25</f>
        <v>#REF!</v>
      </c>
      <c r="G25" s="2" t="e">
        <f t="shared" ca="1" si="5"/>
        <v>#REF!</v>
      </c>
      <c r="H25" t="e">
        <f t="shared" ca="1" si="6"/>
        <v>#REF!</v>
      </c>
      <c r="I25" t="e">
        <f t="shared" ca="1" si="7"/>
        <v>#REF!</v>
      </c>
      <c r="J25" t="e">
        <f t="shared" ca="1" si="8"/>
        <v>#REF!</v>
      </c>
      <c r="K25" t="e">
        <f t="shared" ca="1" si="9"/>
        <v>#REF!</v>
      </c>
      <c r="L25" t="e">
        <f t="shared" ca="1" si="10"/>
        <v>#REF!</v>
      </c>
      <c r="M25" s="2" t="e">
        <f t="shared" ca="1" si="11"/>
        <v>#REF!</v>
      </c>
      <c r="N25" s="3" t="e">
        <f t="shared" ca="1" si="12"/>
        <v>#REF!</v>
      </c>
      <c r="O25" t="e">
        <f t="shared" ca="1" si="13"/>
        <v>#REF!</v>
      </c>
      <c r="P25" t="e">
        <f t="shared" ca="1" si="14"/>
        <v>#REF!</v>
      </c>
    </row>
    <row r="26" spans="1:16" x14ac:dyDescent="0.4">
      <c r="A26" t="s">
        <v>23</v>
      </c>
      <c r="B26" t="e">
        <f t="shared" ca="1" si="3"/>
        <v>#REF!</v>
      </c>
      <c r="C26" t="e">
        <f t="shared" ca="1" si="0"/>
        <v>#REF!</v>
      </c>
      <c r="D26" t="e">
        <f t="shared" ca="1" si="1"/>
        <v>#REF!</v>
      </c>
      <c r="E26" t="e">
        <f t="shared" ca="1" si="2"/>
        <v>#REF!</v>
      </c>
      <c r="F26" t="e">
        <f t="shared" ca="1" si="4"/>
        <v>#REF!</v>
      </c>
      <c r="G26" s="2" t="e">
        <f t="shared" ca="1" si="5"/>
        <v>#REF!</v>
      </c>
      <c r="H26" t="e">
        <f t="shared" ca="1" si="6"/>
        <v>#REF!</v>
      </c>
      <c r="I26" t="e">
        <f t="shared" ca="1" si="7"/>
        <v>#REF!</v>
      </c>
      <c r="J26" t="e">
        <f t="shared" ca="1" si="8"/>
        <v>#REF!</v>
      </c>
      <c r="K26" t="e">
        <f t="shared" ca="1" si="9"/>
        <v>#REF!</v>
      </c>
      <c r="L26" t="e">
        <f t="shared" ca="1" si="10"/>
        <v>#REF!</v>
      </c>
      <c r="M26" s="2" t="e">
        <f t="shared" ca="1" si="11"/>
        <v>#REF!</v>
      </c>
      <c r="N26" s="3" t="e">
        <f t="shared" ca="1" si="12"/>
        <v>#REF!</v>
      </c>
      <c r="O26" t="e">
        <f t="shared" ca="1" si="13"/>
        <v>#REF!</v>
      </c>
      <c r="P26" t="e">
        <f t="shared" ca="1" si="14"/>
        <v>#REF!</v>
      </c>
    </row>
    <row r="27" spans="1:16" x14ac:dyDescent="0.4">
      <c r="A27" t="s">
        <v>24</v>
      </c>
      <c r="B27" t="e">
        <f t="shared" ca="1" si="3"/>
        <v>#REF!</v>
      </c>
      <c r="C27" t="e">
        <f t="shared" ca="1" si="0"/>
        <v>#REF!</v>
      </c>
      <c r="D27" t="e">
        <f t="shared" ca="1" si="1"/>
        <v>#REF!</v>
      </c>
      <c r="E27" t="e">
        <f t="shared" ca="1" si="2"/>
        <v>#REF!</v>
      </c>
      <c r="F27" t="e">
        <f t="shared" ca="1" si="4"/>
        <v>#REF!</v>
      </c>
      <c r="G27" s="2" t="e">
        <f t="shared" ca="1" si="5"/>
        <v>#REF!</v>
      </c>
      <c r="H27" t="e">
        <f t="shared" ca="1" si="6"/>
        <v>#REF!</v>
      </c>
      <c r="I27" t="e">
        <f t="shared" ca="1" si="7"/>
        <v>#REF!</v>
      </c>
      <c r="J27" t="e">
        <f t="shared" ca="1" si="8"/>
        <v>#REF!</v>
      </c>
      <c r="K27" t="e">
        <f t="shared" ca="1" si="9"/>
        <v>#REF!</v>
      </c>
      <c r="L27" t="e">
        <f t="shared" ca="1" si="10"/>
        <v>#REF!</v>
      </c>
      <c r="M27" s="2" t="e">
        <f t="shared" ca="1" si="11"/>
        <v>#REF!</v>
      </c>
      <c r="N27" s="3" t="e">
        <f t="shared" ca="1" si="12"/>
        <v>#REF!</v>
      </c>
      <c r="O27" t="e">
        <f t="shared" ca="1" si="13"/>
        <v>#REF!</v>
      </c>
      <c r="P27" t="e">
        <f t="shared" ca="1" si="14"/>
        <v>#REF!</v>
      </c>
    </row>
    <row r="28" spans="1:16" x14ac:dyDescent="0.4">
      <c r="A28" t="s">
        <v>34</v>
      </c>
      <c r="B28" t="e">
        <f t="shared" ca="1" si="3"/>
        <v>#REF!</v>
      </c>
      <c r="C28" t="e">
        <f t="shared" ca="1" si="0"/>
        <v>#REF!</v>
      </c>
      <c r="D28" t="e">
        <f t="shared" ca="1" si="1"/>
        <v>#REF!</v>
      </c>
      <c r="E28" t="e">
        <f t="shared" ca="1" si="2"/>
        <v>#REF!</v>
      </c>
      <c r="F28" t="e">
        <f t="shared" ca="1" si="4"/>
        <v>#REF!</v>
      </c>
      <c r="G28" s="2" t="e">
        <f t="shared" ca="1" si="5"/>
        <v>#REF!</v>
      </c>
      <c r="H28" t="e">
        <f t="shared" ca="1" si="6"/>
        <v>#REF!</v>
      </c>
      <c r="I28" t="e">
        <f t="shared" ca="1" si="7"/>
        <v>#REF!</v>
      </c>
      <c r="J28" t="e">
        <f t="shared" ca="1" si="8"/>
        <v>#REF!</v>
      </c>
      <c r="K28" t="e">
        <f t="shared" ca="1" si="9"/>
        <v>#REF!</v>
      </c>
      <c r="L28" t="e">
        <f t="shared" ca="1" si="10"/>
        <v>#REF!</v>
      </c>
      <c r="M28" s="2" t="e">
        <f t="shared" ca="1" si="11"/>
        <v>#REF!</v>
      </c>
      <c r="N28" s="3" t="e">
        <f t="shared" ca="1" si="12"/>
        <v>#REF!</v>
      </c>
      <c r="O28" t="e">
        <f t="shared" ca="1" si="13"/>
        <v>#REF!</v>
      </c>
      <c r="P28" t="e">
        <f t="shared" ca="1" si="14"/>
        <v>#REF!</v>
      </c>
    </row>
    <row r="29" spans="1:16" x14ac:dyDescent="0.4">
      <c r="A29" t="s">
        <v>35</v>
      </c>
      <c r="B29" t="e">
        <f t="shared" ca="1" si="3"/>
        <v>#REF!</v>
      </c>
      <c r="C29" t="e">
        <f t="shared" ca="1" si="0"/>
        <v>#REF!</v>
      </c>
      <c r="D29" t="e">
        <f t="shared" ca="1" si="1"/>
        <v>#REF!</v>
      </c>
      <c r="E29" t="e">
        <f t="shared" ca="1" si="2"/>
        <v>#REF!</v>
      </c>
      <c r="F29" t="e">
        <f t="shared" ca="1" si="4"/>
        <v>#REF!</v>
      </c>
      <c r="G29" s="2" t="e">
        <f t="shared" ca="1" si="5"/>
        <v>#REF!</v>
      </c>
      <c r="H29" t="e">
        <f t="shared" ca="1" si="6"/>
        <v>#REF!</v>
      </c>
      <c r="I29" t="e">
        <f t="shared" ca="1" si="7"/>
        <v>#REF!</v>
      </c>
      <c r="J29" t="e">
        <f t="shared" ca="1" si="8"/>
        <v>#REF!</v>
      </c>
      <c r="K29" t="e">
        <f t="shared" ca="1" si="9"/>
        <v>#REF!</v>
      </c>
      <c r="L29" t="e">
        <f t="shared" ca="1" si="10"/>
        <v>#REF!</v>
      </c>
      <c r="M29" s="2" t="e">
        <f t="shared" ca="1" si="11"/>
        <v>#REF!</v>
      </c>
      <c r="N29" s="3" t="e">
        <f t="shared" ca="1" si="12"/>
        <v>#REF!</v>
      </c>
      <c r="O29" t="e">
        <f t="shared" ca="1" si="13"/>
        <v>#REF!</v>
      </c>
      <c r="P29" t="e">
        <f t="shared" ca="1" si="14"/>
        <v>#REF!</v>
      </c>
    </row>
    <row r="30" spans="1:16" x14ac:dyDescent="0.4">
      <c r="A30" t="s">
        <v>39</v>
      </c>
      <c r="B30" t="e">
        <f t="shared" ca="1" si="3"/>
        <v>#REF!</v>
      </c>
      <c r="C30" t="e">
        <f t="shared" ca="1" si="0"/>
        <v>#REF!</v>
      </c>
      <c r="D30" t="e">
        <f t="shared" ca="1" si="1"/>
        <v>#REF!</v>
      </c>
      <c r="E30" t="e">
        <f t="shared" ca="1" si="2"/>
        <v>#REF!</v>
      </c>
      <c r="F30" t="e">
        <f t="shared" ca="1" si="4"/>
        <v>#REF!</v>
      </c>
      <c r="G30" s="2" t="e">
        <f t="shared" ca="1" si="5"/>
        <v>#REF!</v>
      </c>
      <c r="H30" t="e">
        <f t="shared" ca="1" si="6"/>
        <v>#REF!</v>
      </c>
      <c r="I30" t="e">
        <f t="shared" ca="1" si="7"/>
        <v>#REF!</v>
      </c>
      <c r="J30" t="e">
        <f t="shared" ca="1" si="8"/>
        <v>#REF!</v>
      </c>
      <c r="K30" t="e">
        <f t="shared" ca="1" si="9"/>
        <v>#REF!</v>
      </c>
      <c r="L30" t="e">
        <f t="shared" ca="1" si="10"/>
        <v>#REF!</v>
      </c>
      <c r="M30" s="2" t="e">
        <f t="shared" ca="1" si="11"/>
        <v>#REF!</v>
      </c>
      <c r="N30" s="3" t="e">
        <f t="shared" ca="1" si="12"/>
        <v>#REF!</v>
      </c>
      <c r="O30" t="e">
        <f t="shared" ca="1" si="13"/>
        <v>#REF!</v>
      </c>
      <c r="P30" t="e">
        <f t="shared" ca="1" si="14"/>
        <v>#REF!</v>
      </c>
    </row>
    <row r="31" spans="1:16" x14ac:dyDescent="0.4">
      <c r="A31" t="s">
        <v>40</v>
      </c>
      <c r="B31" t="e">
        <f t="shared" ca="1" si="3"/>
        <v>#REF!</v>
      </c>
      <c r="C31" t="e">
        <f t="shared" ca="1" si="0"/>
        <v>#REF!</v>
      </c>
      <c r="D31" t="e">
        <f t="shared" ca="1" si="1"/>
        <v>#REF!</v>
      </c>
      <c r="E31" t="e">
        <f t="shared" ca="1" si="2"/>
        <v>#REF!</v>
      </c>
      <c r="F31" t="e">
        <f t="shared" ca="1" si="4"/>
        <v>#REF!</v>
      </c>
      <c r="G31" s="2" t="e">
        <f t="shared" ca="1" si="5"/>
        <v>#REF!</v>
      </c>
      <c r="H31" t="e">
        <f t="shared" ca="1" si="6"/>
        <v>#REF!</v>
      </c>
      <c r="I31" t="e">
        <f t="shared" ca="1" si="7"/>
        <v>#REF!</v>
      </c>
      <c r="J31" t="e">
        <f t="shared" ca="1" si="8"/>
        <v>#REF!</v>
      </c>
      <c r="K31" t="e">
        <f t="shared" ca="1" si="9"/>
        <v>#REF!</v>
      </c>
      <c r="L31" t="e">
        <f t="shared" ca="1" si="10"/>
        <v>#REF!</v>
      </c>
      <c r="M31" s="2" t="e">
        <f t="shared" ca="1" si="11"/>
        <v>#REF!</v>
      </c>
      <c r="N31" s="3" t="e">
        <f t="shared" ca="1" si="12"/>
        <v>#REF!</v>
      </c>
      <c r="O31" t="e">
        <f t="shared" ca="1" si="13"/>
        <v>#REF!</v>
      </c>
      <c r="P31" t="e">
        <f t="shared" ca="1" si="14"/>
        <v>#REF!</v>
      </c>
    </row>
    <row r="32" spans="1:16" x14ac:dyDescent="0.4">
      <c r="A32" t="s">
        <v>41</v>
      </c>
      <c r="B32" t="e">
        <f t="shared" ca="1" si="3"/>
        <v>#REF!</v>
      </c>
      <c r="C32" t="e">
        <f t="shared" ca="1" si="0"/>
        <v>#REF!</v>
      </c>
      <c r="D32" t="e">
        <f t="shared" ca="1" si="1"/>
        <v>#REF!</v>
      </c>
      <c r="E32" t="e">
        <f t="shared" ca="1" si="2"/>
        <v>#REF!</v>
      </c>
      <c r="F32" t="e">
        <f t="shared" ca="1" si="4"/>
        <v>#REF!</v>
      </c>
      <c r="G32" s="2" t="e">
        <f t="shared" ca="1" si="5"/>
        <v>#REF!</v>
      </c>
      <c r="H32" t="e">
        <f t="shared" ca="1" si="6"/>
        <v>#REF!</v>
      </c>
      <c r="I32" t="e">
        <f t="shared" ca="1" si="7"/>
        <v>#REF!</v>
      </c>
      <c r="J32" t="e">
        <f t="shared" ca="1" si="8"/>
        <v>#REF!</v>
      </c>
      <c r="K32" t="e">
        <f t="shared" ca="1" si="9"/>
        <v>#REF!</v>
      </c>
      <c r="L32" t="e">
        <f t="shared" ca="1" si="10"/>
        <v>#REF!</v>
      </c>
      <c r="M32" s="2" t="e">
        <f t="shared" ca="1" si="11"/>
        <v>#REF!</v>
      </c>
      <c r="N32" s="3" t="e">
        <f t="shared" ca="1" si="12"/>
        <v>#REF!</v>
      </c>
      <c r="O32" t="e">
        <f t="shared" ca="1" si="13"/>
        <v>#REF!</v>
      </c>
      <c r="P32" t="e">
        <f t="shared" ca="1" si="14"/>
        <v>#REF!</v>
      </c>
    </row>
    <row r="33" spans="1:16" x14ac:dyDescent="0.4">
      <c r="A33" t="s">
        <v>42</v>
      </c>
      <c r="B33" t="e">
        <f t="shared" ca="1" si="3"/>
        <v>#REF!</v>
      </c>
      <c r="C33" t="e">
        <f t="shared" ca="1" si="0"/>
        <v>#REF!</v>
      </c>
      <c r="D33" t="e">
        <f t="shared" ca="1" si="1"/>
        <v>#REF!</v>
      </c>
      <c r="E33" t="e">
        <f t="shared" ca="1" si="2"/>
        <v>#REF!</v>
      </c>
      <c r="F33" t="e">
        <f t="shared" ca="1" si="4"/>
        <v>#REF!</v>
      </c>
      <c r="G33" s="2" t="e">
        <f t="shared" ca="1" si="5"/>
        <v>#REF!</v>
      </c>
      <c r="H33" t="e">
        <f t="shared" ca="1" si="6"/>
        <v>#REF!</v>
      </c>
      <c r="I33" t="e">
        <f t="shared" ca="1" si="7"/>
        <v>#REF!</v>
      </c>
      <c r="J33" t="e">
        <f t="shared" ca="1" si="8"/>
        <v>#REF!</v>
      </c>
      <c r="K33" t="e">
        <f t="shared" ca="1" si="9"/>
        <v>#REF!</v>
      </c>
      <c r="L33" t="e">
        <f t="shared" ca="1" si="10"/>
        <v>#REF!</v>
      </c>
      <c r="M33" s="2" t="e">
        <f t="shared" ca="1" si="11"/>
        <v>#REF!</v>
      </c>
      <c r="N33" s="3" t="e">
        <f t="shared" ca="1" si="12"/>
        <v>#REF!</v>
      </c>
      <c r="O33" t="e">
        <f t="shared" ca="1" si="13"/>
        <v>#REF!</v>
      </c>
      <c r="P33" t="e">
        <f t="shared" ca="1" si="14"/>
        <v>#REF!</v>
      </c>
    </row>
    <row r="34" spans="1:16" x14ac:dyDescent="0.4">
      <c r="A34" t="s">
        <v>43</v>
      </c>
      <c r="B34" t="e">
        <f t="shared" ca="1" si="3"/>
        <v>#REF!</v>
      </c>
      <c r="C34" t="e">
        <f t="shared" ca="1" si="0"/>
        <v>#REF!</v>
      </c>
      <c r="D34" t="e">
        <f t="shared" ca="1" si="1"/>
        <v>#REF!</v>
      </c>
      <c r="E34" t="e">
        <f t="shared" ca="1" si="2"/>
        <v>#REF!</v>
      </c>
      <c r="F34" t="e">
        <f t="shared" ca="1" si="4"/>
        <v>#REF!</v>
      </c>
      <c r="G34" s="2" t="e">
        <f t="shared" ca="1" si="5"/>
        <v>#REF!</v>
      </c>
      <c r="H34" t="e">
        <f t="shared" ca="1" si="6"/>
        <v>#REF!</v>
      </c>
      <c r="I34" t="e">
        <f t="shared" ca="1" si="7"/>
        <v>#REF!</v>
      </c>
      <c r="J34" t="e">
        <f t="shared" ca="1" si="8"/>
        <v>#REF!</v>
      </c>
      <c r="K34" t="e">
        <f t="shared" ca="1" si="9"/>
        <v>#REF!</v>
      </c>
      <c r="L34" t="e">
        <f t="shared" ca="1" si="10"/>
        <v>#REF!</v>
      </c>
      <c r="M34" s="2" t="e">
        <f t="shared" ca="1" si="11"/>
        <v>#REF!</v>
      </c>
      <c r="N34" s="3" t="e">
        <f t="shared" ca="1" si="12"/>
        <v>#REF!</v>
      </c>
      <c r="O34" t="e">
        <f t="shared" ca="1" si="13"/>
        <v>#REF!</v>
      </c>
      <c r="P34" t="e">
        <f t="shared" ca="1" si="14"/>
        <v>#REF!</v>
      </c>
    </row>
    <row r="35" spans="1:16" x14ac:dyDescent="0.4">
      <c r="A35" t="s">
        <v>44</v>
      </c>
      <c r="B35" t="e">
        <f t="shared" ca="1" si="3"/>
        <v>#REF!</v>
      </c>
      <c r="C35" t="e">
        <f t="shared" ca="1" si="0"/>
        <v>#REF!</v>
      </c>
      <c r="D35" t="e">
        <f t="shared" ca="1" si="1"/>
        <v>#REF!</v>
      </c>
      <c r="E35" t="e">
        <f t="shared" ca="1" si="2"/>
        <v>#REF!</v>
      </c>
      <c r="F35" t="e">
        <f t="shared" ca="1" si="4"/>
        <v>#REF!</v>
      </c>
      <c r="G35" s="2" t="e">
        <f t="shared" ca="1" si="5"/>
        <v>#REF!</v>
      </c>
      <c r="H35" t="e">
        <f t="shared" ca="1" si="6"/>
        <v>#REF!</v>
      </c>
      <c r="I35" t="e">
        <f t="shared" ca="1" si="7"/>
        <v>#REF!</v>
      </c>
      <c r="J35" t="e">
        <f t="shared" ca="1" si="8"/>
        <v>#REF!</v>
      </c>
      <c r="K35" t="e">
        <f t="shared" ca="1" si="9"/>
        <v>#REF!</v>
      </c>
      <c r="L35" t="e">
        <f t="shared" ca="1" si="10"/>
        <v>#REF!</v>
      </c>
      <c r="M35" s="2" t="e">
        <f t="shared" ca="1" si="11"/>
        <v>#REF!</v>
      </c>
      <c r="N35" s="3" t="e">
        <f t="shared" ca="1" si="12"/>
        <v>#REF!</v>
      </c>
      <c r="O35" t="e">
        <f t="shared" ca="1" si="13"/>
        <v>#REF!</v>
      </c>
      <c r="P35" t="e">
        <f t="shared" ca="1" si="14"/>
        <v>#REF!</v>
      </c>
    </row>
    <row r="36" spans="1:16" x14ac:dyDescent="0.4">
      <c r="A36" t="s">
        <v>45</v>
      </c>
      <c r="B36" t="e">
        <f t="shared" ca="1" si="3"/>
        <v>#REF!</v>
      </c>
      <c r="C36" t="e">
        <f t="shared" ca="1" si="0"/>
        <v>#REF!</v>
      </c>
      <c r="D36" t="e">
        <f t="shared" ca="1" si="1"/>
        <v>#REF!</v>
      </c>
      <c r="E36" t="e">
        <f t="shared" ca="1" si="2"/>
        <v>#REF!</v>
      </c>
      <c r="F36" t="e">
        <f t="shared" ca="1" si="4"/>
        <v>#REF!</v>
      </c>
      <c r="G36" s="2" t="e">
        <f t="shared" ca="1" si="5"/>
        <v>#REF!</v>
      </c>
      <c r="H36" t="e">
        <f t="shared" ca="1" si="6"/>
        <v>#REF!</v>
      </c>
      <c r="I36" t="e">
        <f t="shared" ca="1" si="7"/>
        <v>#REF!</v>
      </c>
      <c r="J36" t="e">
        <f t="shared" ca="1" si="8"/>
        <v>#REF!</v>
      </c>
      <c r="K36" t="e">
        <f t="shared" ca="1" si="9"/>
        <v>#REF!</v>
      </c>
      <c r="L36" t="e">
        <f t="shared" ca="1" si="10"/>
        <v>#REF!</v>
      </c>
      <c r="M36" s="2" t="e">
        <f t="shared" ca="1" si="11"/>
        <v>#REF!</v>
      </c>
      <c r="N36" s="3" t="e">
        <f t="shared" ca="1" si="12"/>
        <v>#REF!</v>
      </c>
      <c r="O36" t="e">
        <f t="shared" ca="1" si="13"/>
        <v>#REF!</v>
      </c>
      <c r="P36" t="e">
        <f t="shared" ca="1" si="14"/>
        <v>#REF!</v>
      </c>
    </row>
    <row r="37" spans="1:16" x14ac:dyDescent="0.4">
      <c r="A37" t="s">
        <v>46</v>
      </c>
      <c r="B37" t="e">
        <f t="shared" ca="1" si="3"/>
        <v>#REF!</v>
      </c>
      <c r="C37" t="e">
        <f t="shared" ca="1" si="0"/>
        <v>#REF!</v>
      </c>
      <c r="D37" t="e">
        <f t="shared" ca="1" si="1"/>
        <v>#REF!</v>
      </c>
      <c r="E37" t="e">
        <f t="shared" ca="1" si="2"/>
        <v>#REF!</v>
      </c>
      <c r="F37" t="e">
        <f t="shared" ca="1" si="4"/>
        <v>#REF!</v>
      </c>
      <c r="G37" s="2" t="e">
        <f t="shared" ca="1" si="5"/>
        <v>#REF!</v>
      </c>
      <c r="H37" t="e">
        <f t="shared" ca="1" si="6"/>
        <v>#REF!</v>
      </c>
      <c r="I37" t="e">
        <f t="shared" ca="1" si="7"/>
        <v>#REF!</v>
      </c>
      <c r="J37" t="e">
        <f t="shared" ca="1" si="8"/>
        <v>#REF!</v>
      </c>
      <c r="K37" t="e">
        <f t="shared" ca="1" si="9"/>
        <v>#REF!</v>
      </c>
      <c r="L37" t="e">
        <f t="shared" ca="1" si="10"/>
        <v>#REF!</v>
      </c>
      <c r="M37" s="2" t="e">
        <f t="shared" ca="1" si="11"/>
        <v>#REF!</v>
      </c>
      <c r="N37" s="3" t="e">
        <f t="shared" ca="1" si="12"/>
        <v>#REF!</v>
      </c>
      <c r="O37" t="e">
        <f t="shared" ca="1" si="13"/>
        <v>#REF!</v>
      </c>
      <c r="P37" t="e">
        <f t="shared" ca="1" si="14"/>
        <v>#REF!</v>
      </c>
    </row>
    <row r="38" spans="1:16" x14ac:dyDescent="0.4">
      <c r="A38" t="s">
        <v>47</v>
      </c>
      <c r="B38" t="e">
        <f t="shared" ca="1" si="3"/>
        <v>#REF!</v>
      </c>
      <c r="C38" t="e">
        <f t="shared" ca="1" si="0"/>
        <v>#REF!</v>
      </c>
      <c r="D38" t="e">
        <f t="shared" ca="1" si="1"/>
        <v>#REF!</v>
      </c>
      <c r="E38" t="e">
        <f t="shared" ca="1" si="2"/>
        <v>#REF!</v>
      </c>
      <c r="F38" t="e">
        <f t="shared" ca="1" si="4"/>
        <v>#REF!</v>
      </c>
      <c r="G38" s="2" t="e">
        <f t="shared" ca="1" si="5"/>
        <v>#REF!</v>
      </c>
      <c r="H38" t="e">
        <f t="shared" ca="1" si="6"/>
        <v>#REF!</v>
      </c>
      <c r="I38" t="e">
        <f t="shared" ca="1" si="7"/>
        <v>#REF!</v>
      </c>
      <c r="J38" t="e">
        <f t="shared" ca="1" si="8"/>
        <v>#REF!</v>
      </c>
      <c r="K38" t="e">
        <f t="shared" ca="1" si="9"/>
        <v>#REF!</v>
      </c>
      <c r="L38" t="e">
        <f t="shared" ca="1" si="10"/>
        <v>#REF!</v>
      </c>
      <c r="M38" s="2" t="e">
        <f t="shared" ca="1" si="11"/>
        <v>#REF!</v>
      </c>
      <c r="N38" s="3" t="e">
        <f t="shared" ca="1" si="12"/>
        <v>#REF!</v>
      </c>
      <c r="O38" t="e">
        <f t="shared" ca="1" si="13"/>
        <v>#REF!</v>
      </c>
      <c r="P38" t="e">
        <f t="shared" ca="1" si="14"/>
        <v>#REF!</v>
      </c>
    </row>
    <row r="105" spans="1:8" x14ac:dyDescent="0.4">
      <c r="C105" t="s">
        <v>37</v>
      </c>
      <c r="D105" t="s">
        <v>32</v>
      </c>
      <c r="E105" t="s">
        <v>33</v>
      </c>
      <c r="F105" t="s">
        <v>29</v>
      </c>
      <c r="G105" t="s">
        <v>30</v>
      </c>
      <c r="H105" t="s">
        <v>31</v>
      </c>
    </row>
    <row r="106" spans="1:8" x14ac:dyDescent="0.4">
      <c r="A106" t="s">
        <v>38</v>
      </c>
      <c r="C106" t="e">
        <f ca="1">MEDIAN(H3:H98)</f>
        <v>#REF!</v>
      </c>
      <c r="D106" t="e">
        <f ca="1">C106-C106*0.3</f>
        <v>#REF!</v>
      </c>
      <c r="E106" t="e">
        <f ca="1">C106+C106*0.3</f>
        <v>#REF!</v>
      </c>
      <c r="F106" t="e">
        <f ca="1">SUMIF(H3:H98,"&lt;"&amp;D106,H3:H98)+SUMIF(H3:H98,"&gt;"&amp;E106,H3:H98)</f>
        <v>#REF!</v>
      </c>
      <c r="G106">
        <f ca="1">COUNTIF(H3:H98,"&lt;"&amp;D106)+COUNTIF(H3:H98,"&gt;"&amp;E106)</f>
        <v>72</v>
      </c>
      <c r="H106" t="e">
        <f ca="1">SUM(H3:H98)</f>
        <v>#REF!</v>
      </c>
    </row>
    <row r="107" spans="1:8" x14ac:dyDescent="0.4">
      <c r="A107" t="s">
        <v>36</v>
      </c>
      <c r="C107" t="e">
        <f ca="1">MEDIAN(L3:L98)</f>
        <v>#REF!</v>
      </c>
      <c r="D107" t="e">
        <f ca="1">C107-C107*0.3</f>
        <v>#REF!</v>
      </c>
      <c r="E107" t="e">
        <f ca="1">C107+C107*0.3</f>
        <v>#REF!</v>
      </c>
      <c r="F107" t="e">
        <f ca="1">SUMIF(L3:L98,"&lt;"&amp;D107,L3:L98)+SUMIF(L3:L98,"&gt;"&amp;E107,L3:L98)</f>
        <v>#REF!</v>
      </c>
      <c r="G107">
        <f ca="1">COUNTIF(L3:L98,"&lt;"&amp;D107)+COUNTIF(L3:L98,"&gt;"&amp;E107)</f>
        <v>72</v>
      </c>
      <c r="H107" t="e">
        <f ca="1">SUM(L3:L98)</f>
        <v>#REF!</v>
      </c>
    </row>
  </sheetData>
  <sortState ref="A2:B8">
    <sortCondition ref="B2:B8"/>
  </sortState>
  <mergeCells count="2">
    <mergeCell ref="B1:G1"/>
    <mergeCell ref="H1:M1"/>
  </mergeCells>
  <phoneticPr fontId="1"/>
  <conditionalFormatting sqref="P3:P38">
    <cfRule type="cellIs" dxfId="1" priority="1" operator="lessThan">
      <formula>0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INOKAWAMAKOTO</dc:creator>
  <cp:lastModifiedBy>test</cp:lastModifiedBy>
  <dcterms:created xsi:type="dcterms:W3CDTF">2020-10-01T07:32:59Z</dcterms:created>
  <dcterms:modified xsi:type="dcterms:W3CDTF">2021-10-05T06:04:32Z</dcterms:modified>
</cp:coreProperties>
</file>