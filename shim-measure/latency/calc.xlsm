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st\Documents\GitHub\Lab\shim\openshim\latency\"/>
    </mc:Choice>
  </mc:AlternateContent>
  <xr:revisionPtr revIDLastSave="0" documentId="13_ncr:1_{9B648D9B-D598-413B-9F3C-786490C396F0}" xr6:coauthVersionLast="36" xr6:coauthVersionMax="36" xr10:uidLastSave="{00000000-0000-0000-0000-000000000000}"/>
  <bookViews>
    <workbookView xWindow="0" yWindow="0" windowWidth="28800" windowHeight="12135" tabRatio="654" activeTab="1" xr2:uid="{00000000-000D-0000-FFFF-FFFF00000000}"/>
  </bookViews>
  <sheets>
    <sheet name="summary" sheetId="18" r:id="rId1"/>
    <sheet name="regression" sheetId="19" r:id="rId2"/>
    <sheet name="Sheet1" sheetId="4" state="hidden" r:id="rId3"/>
  </sheets>
  <definedNames>
    <definedName name="solver_adj" localSheetId="1" hidden="1">regression!$C$2:$AB$2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itr" localSheetId="1" hidden="1">2147483647</definedName>
    <definedName name="solver_lhs1" localSheetId="1" hidden="1">regression!$C$2:$AB$2</definedName>
    <definedName name="solver_lhs2" localSheetId="1" hidden="1">regression!$AF$3:$AF$38</definedName>
    <definedName name="solver_lhs3" localSheetId="1" hidden="1">regression!$AF$3:$AF$38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um" localSheetId="1" hidden="1">3</definedName>
    <definedName name="solver_num" localSheetId="0" hidden="1">0</definedName>
    <definedName name="solver_nwt" localSheetId="1" hidden="1">1</definedName>
    <definedName name="solver_opt" localSheetId="1" hidden="1">regression!$AE$2</definedName>
    <definedName name="solver_opt" localSheetId="0" hidden="1">summary!$AF$3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2" localSheetId="1" hidden="1">1</definedName>
    <definedName name="solver_rel3" localSheetId="1" hidden="1">3</definedName>
    <definedName name="solver_rhs1" localSheetId="1" hidden="1">0</definedName>
    <definedName name="solver_rhs2" localSheetId="1" hidden="1">0.2</definedName>
    <definedName name="solver_rhs3" localSheetId="1" hidden="1">-0.2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</workbook>
</file>

<file path=xl/calcChain.xml><?xml version="1.0" encoding="utf-8"?>
<calcChain xmlns="http://schemas.openxmlformats.org/spreadsheetml/2006/main">
  <c r="Y4" i="19" l="1"/>
  <c r="Y5" i="19"/>
  <c r="Y6" i="19"/>
  <c r="Y7" i="19"/>
  <c r="Y8" i="19"/>
  <c r="Y9" i="19"/>
  <c r="Y10" i="19"/>
  <c r="Y11" i="19"/>
  <c r="Y12" i="19"/>
  <c r="Y13" i="19"/>
  <c r="Y14" i="19"/>
  <c r="Y15" i="19"/>
  <c r="Y16" i="19"/>
  <c r="Y17" i="19"/>
  <c r="Y18" i="19"/>
  <c r="Y19" i="19"/>
  <c r="Y20" i="19"/>
  <c r="Y21" i="19"/>
  <c r="Y22" i="19"/>
  <c r="Y23" i="19"/>
  <c r="Y24" i="19"/>
  <c r="Y25" i="19"/>
  <c r="Y2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" i="19"/>
  <c r="AA4" i="19"/>
  <c r="AA5" i="19"/>
  <c r="AA6" i="19"/>
  <c r="AA7" i="19"/>
  <c r="AA8" i="19"/>
  <c r="AA9" i="19"/>
  <c r="AA10" i="19"/>
  <c r="AA11" i="19"/>
  <c r="AA12" i="19"/>
  <c r="AA13" i="19"/>
  <c r="AA14" i="19"/>
  <c r="AA15" i="19"/>
  <c r="AA16" i="19"/>
  <c r="AA17" i="19"/>
  <c r="AA18" i="19"/>
  <c r="AA19" i="19"/>
  <c r="AA20" i="19"/>
  <c r="AA21" i="19"/>
  <c r="AA22" i="19"/>
  <c r="AA23" i="19"/>
  <c r="AA24" i="19"/>
  <c r="AA25" i="19"/>
  <c r="AA26" i="19"/>
  <c r="AA27" i="19"/>
  <c r="AA28" i="19"/>
  <c r="AA29" i="19"/>
  <c r="AA30" i="19"/>
  <c r="AA31" i="19"/>
  <c r="AA32" i="19"/>
  <c r="AA33" i="19"/>
  <c r="AA34" i="19"/>
  <c r="AA35" i="19"/>
  <c r="AA36" i="19"/>
  <c r="AA37" i="19"/>
  <c r="AA38" i="19"/>
  <c r="Z3" i="19"/>
  <c r="AA3" i="19"/>
  <c r="Z4" i="19"/>
  <c r="Z5" i="19"/>
  <c r="Z6" i="19"/>
  <c r="Z7" i="19"/>
  <c r="Z8" i="19"/>
  <c r="Z9" i="19"/>
  <c r="Z10" i="19"/>
  <c r="Z11" i="19"/>
  <c r="Z12" i="19"/>
  <c r="Z13" i="19"/>
  <c r="Z14" i="19"/>
  <c r="Z15" i="19"/>
  <c r="Z16" i="19"/>
  <c r="Z17" i="19"/>
  <c r="Z18" i="19"/>
  <c r="Z19" i="19"/>
  <c r="Z20" i="19"/>
  <c r="Z21" i="19"/>
  <c r="Z22" i="19"/>
  <c r="Z23" i="19"/>
  <c r="Z24" i="19"/>
  <c r="Z25" i="19"/>
  <c r="Z26" i="19"/>
  <c r="Z27" i="19"/>
  <c r="Z28" i="19"/>
  <c r="Z29" i="19"/>
  <c r="Z30" i="19"/>
  <c r="Z31" i="19"/>
  <c r="Z32" i="19"/>
  <c r="Z33" i="19"/>
  <c r="Z34" i="19"/>
  <c r="Z35" i="19"/>
  <c r="Z36" i="19"/>
  <c r="Z37" i="19"/>
  <c r="Z38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" i="19"/>
  <c r="AF38" i="19" l="1"/>
  <c r="AE38" i="19"/>
  <c r="AF37" i="19"/>
  <c r="AE37" i="19"/>
  <c r="AF36" i="19"/>
  <c r="AE36" i="19"/>
  <c r="AF35" i="19"/>
  <c r="AE35" i="19"/>
  <c r="AF34" i="19"/>
  <c r="AE34" i="19"/>
  <c r="AF33" i="19"/>
  <c r="AE33" i="19"/>
  <c r="AF32" i="19"/>
  <c r="AE32" i="19"/>
  <c r="AF31" i="19"/>
  <c r="AE31" i="19"/>
  <c r="AF30" i="19"/>
  <c r="AE30" i="19"/>
  <c r="AF29" i="19"/>
  <c r="AE29" i="19"/>
  <c r="AF28" i="19"/>
  <c r="AE28" i="19"/>
  <c r="AF27" i="19"/>
  <c r="AE27" i="19"/>
  <c r="AF26" i="19"/>
  <c r="AE26" i="19"/>
  <c r="AF25" i="19"/>
  <c r="AE25" i="19"/>
  <c r="AF24" i="19"/>
  <c r="AE24" i="19"/>
  <c r="AF23" i="19"/>
  <c r="AE23" i="19"/>
  <c r="AF22" i="19"/>
  <c r="AE22" i="19"/>
  <c r="AF21" i="19"/>
  <c r="AE21" i="19"/>
  <c r="AF20" i="19"/>
  <c r="AE20" i="19"/>
  <c r="AF19" i="19"/>
  <c r="AE19" i="19"/>
  <c r="AF18" i="19"/>
  <c r="AE18" i="19"/>
  <c r="AF17" i="19"/>
  <c r="AE17" i="19"/>
  <c r="AF16" i="19"/>
  <c r="AE16" i="19"/>
  <c r="AF15" i="19"/>
  <c r="AE15" i="19"/>
  <c r="AF14" i="19"/>
  <c r="AE14" i="19"/>
  <c r="AF13" i="19"/>
  <c r="AE13" i="19"/>
  <c r="AF12" i="19"/>
  <c r="AE12" i="19"/>
  <c r="AF11" i="19"/>
  <c r="AE11" i="19"/>
  <c r="AF10" i="19"/>
  <c r="AE10" i="19"/>
  <c r="AF9" i="19"/>
  <c r="AE9" i="19"/>
  <c r="AF8" i="19"/>
  <c r="AE8" i="19"/>
  <c r="AF7" i="19"/>
  <c r="AE7" i="19"/>
  <c r="AF6" i="19"/>
  <c r="AE6" i="19"/>
  <c r="AF5" i="19"/>
  <c r="AE5" i="19"/>
  <c r="AF4" i="19"/>
  <c r="AE4" i="19"/>
  <c r="AF3" i="19"/>
  <c r="AE3" i="19"/>
  <c r="AE2" i="19" l="1"/>
  <c r="M48" i="18" a="1"/>
  <c r="N48" i="18" s="1"/>
  <c r="M45" i="18" a="1"/>
  <c r="M47" i="18" s="1"/>
  <c r="J45" i="18" a="1"/>
  <c r="K57" i="18" s="1"/>
  <c r="AH38" i="18"/>
  <c r="AN38" i="18" s="1"/>
  <c r="AO38" i="18" s="1"/>
  <c r="AP38" i="18" s="1"/>
  <c r="AG38" i="18"/>
  <c r="AC38" i="18"/>
  <c r="AI38" i="18" s="1"/>
  <c r="AH37" i="18"/>
  <c r="AG37" i="18"/>
  <c r="AC37" i="18"/>
  <c r="AI37" i="18" s="1"/>
  <c r="AH36" i="18"/>
  <c r="AG36" i="18"/>
  <c r="AC36" i="18"/>
  <c r="AI36" i="18" s="1"/>
  <c r="AH35" i="18"/>
  <c r="AN35" i="18" s="1"/>
  <c r="AO35" i="18" s="1"/>
  <c r="AP35" i="18" s="1"/>
  <c r="AG35" i="18"/>
  <c r="AC35" i="18"/>
  <c r="AI35" i="18" s="1"/>
  <c r="AI34" i="18"/>
  <c r="AH34" i="18"/>
  <c r="AG34" i="18"/>
  <c r="AC34" i="18"/>
  <c r="AH33" i="18"/>
  <c r="AG33" i="18"/>
  <c r="AC33" i="18"/>
  <c r="AI33" i="18" s="1"/>
  <c r="AH32" i="18"/>
  <c r="AN32" i="18" s="1"/>
  <c r="AO32" i="18" s="1"/>
  <c r="AP32" i="18" s="1"/>
  <c r="AG32" i="18"/>
  <c r="AC32" i="18"/>
  <c r="AI32" i="18" s="1"/>
  <c r="AH31" i="18"/>
  <c r="AN31" i="18" s="1"/>
  <c r="AO31" i="18" s="1"/>
  <c r="AP31" i="18" s="1"/>
  <c r="AG31" i="18"/>
  <c r="AC31" i="18"/>
  <c r="AI31" i="18" s="1"/>
  <c r="AH30" i="18"/>
  <c r="AG30" i="18"/>
  <c r="AC30" i="18"/>
  <c r="AI30" i="18" s="1"/>
  <c r="AH29" i="18"/>
  <c r="AG29" i="18"/>
  <c r="AN29" i="18" s="1"/>
  <c r="AO29" i="18" s="1"/>
  <c r="AP29" i="18" s="1"/>
  <c r="AC29" i="18"/>
  <c r="AI29" i="18" s="1"/>
  <c r="AH28" i="18"/>
  <c r="AG28" i="18"/>
  <c r="AN28" i="18" s="1"/>
  <c r="AO28" i="18" s="1"/>
  <c r="AP28" i="18" s="1"/>
  <c r="AC28" i="18"/>
  <c r="AI28" i="18" s="1"/>
  <c r="AH27" i="18"/>
  <c r="AG27" i="18"/>
  <c r="AN27" i="18" s="1"/>
  <c r="AO27" i="18" s="1"/>
  <c r="AP27" i="18" s="1"/>
  <c r="AC27" i="18"/>
  <c r="AI27" i="18" s="1"/>
  <c r="AH26" i="18"/>
  <c r="AG26" i="18"/>
  <c r="AC26" i="18"/>
  <c r="AI26" i="18" s="1"/>
  <c r="AH25" i="18"/>
  <c r="AG25" i="18"/>
  <c r="AN25" i="18" s="1"/>
  <c r="AO25" i="18" s="1"/>
  <c r="AP25" i="18" s="1"/>
  <c r="AC25" i="18"/>
  <c r="AI25" i="18" s="1"/>
  <c r="AH24" i="18"/>
  <c r="AG24" i="18"/>
  <c r="AC24" i="18"/>
  <c r="AI24" i="18" s="1"/>
  <c r="AI23" i="18"/>
  <c r="AH23" i="18"/>
  <c r="AN23" i="18" s="1"/>
  <c r="AO23" i="18" s="1"/>
  <c r="AP23" i="18" s="1"/>
  <c r="AG23" i="18"/>
  <c r="AC23" i="18"/>
  <c r="AI22" i="18"/>
  <c r="AH22" i="18"/>
  <c r="AN22" i="18" s="1"/>
  <c r="AO22" i="18" s="1"/>
  <c r="AP22" i="18" s="1"/>
  <c r="AG22" i="18"/>
  <c r="AC22" i="18"/>
  <c r="AI21" i="18"/>
  <c r="AH21" i="18"/>
  <c r="AG21" i="18"/>
  <c r="AC21" i="18"/>
  <c r="AH20" i="18"/>
  <c r="AG20" i="18"/>
  <c r="AC20" i="18"/>
  <c r="AI20" i="18" s="1"/>
  <c r="AI19" i="18"/>
  <c r="AH19" i="18"/>
  <c r="AN19" i="18" s="1"/>
  <c r="AO19" i="18" s="1"/>
  <c r="AP19" i="18" s="1"/>
  <c r="AG19" i="18"/>
  <c r="AC19" i="18"/>
  <c r="AI18" i="18"/>
  <c r="AH18" i="18"/>
  <c r="AG18" i="18"/>
  <c r="AC18" i="18"/>
  <c r="AI17" i="18"/>
  <c r="AH17" i="18"/>
  <c r="AG17" i="18"/>
  <c r="AC17" i="18"/>
  <c r="AH16" i="18"/>
  <c r="AN16" i="18" s="1"/>
  <c r="AO16" i="18" s="1"/>
  <c r="AP16" i="18" s="1"/>
  <c r="AG16" i="18"/>
  <c r="AC16" i="18"/>
  <c r="AI16" i="18" s="1"/>
  <c r="AH15" i="18"/>
  <c r="AN15" i="18" s="1"/>
  <c r="AO15" i="18" s="1"/>
  <c r="AP15" i="18" s="1"/>
  <c r="AG15" i="18"/>
  <c r="AC15" i="18"/>
  <c r="AI15" i="18" s="1"/>
  <c r="AH14" i="18"/>
  <c r="AG14" i="18"/>
  <c r="AC14" i="18"/>
  <c r="AI14" i="18" s="1"/>
  <c r="AH13" i="18"/>
  <c r="AG13" i="18"/>
  <c r="AN13" i="18" s="1"/>
  <c r="AO13" i="18" s="1"/>
  <c r="AP13" i="18" s="1"/>
  <c r="AC13" i="18"/>
  <c r="AI13" i="18" s="1"/>
  <c r="AH12" i="18"/>
  <c r="AG12" i="18"/>
  <c r="AN12" i="18" s="1"/>
  <c r="AO12" i="18" s="1"/>
  <c r="AP12" i="18" s="1"/>
  <c r="AC12" i="18"/>
  <c r="AI12" i="18" s="1"/>
  <c r="AH11" i="18"/>
  <c r="AG11" i="18"/>
  <c r="AN11" i="18" s="1"/>
  <c r="AO11" i="18" s="1"/>
  <c r="AP11" i="18" s="1"/>
  <c r="AC11" i="18"/>
  <c r="AI11" i="18" s="1"/>
  <c r="AH10" i="18"/>
  <c r="AG10" i="18"/>
  <c r="AC10" i="18"/>
  <c r="AI10" i="18" s="1"/>
  <c r="AH9" i="18"/>
  <c r="AG9" i="18"/>
  <c r="AN9" i="18" s="1"/>
  <c r="AO9" i="18" s="1"/>
  <c r="AP9" i="18" s="1"/>
  <c r="AC9" i="18"/>
  <c r="AI9" i="18" s="1"/>
  <c r="AH8" i="18"/>
  <c r="AG8" i="18"/>
  <c r="AC8" i="18"/>
  <c r="AI8" i="18" s="1"/>
  <c r="AH7" i="18"/>
  <c r="AN7" i="18" s="1"/>
  <c r="AO7" i="18" s="1"/>
  <c r="AP7" i="18" s="1"/>
  <c r="AG7" i="18"/>
  <c r="AC7" i="18"/>
  <c r="AI7" i="18" s="1"/>
  <c r="AH6" i="18"/>
  <c r="AN6" i="18" s="1"/>
  <c r="AO6" i="18" s="1"/>
  <c r="AP6" i="18" s="1"/>
  <c r="AG6" i="18"/>
  <c r="AC6" i="18"/>
  <c r="AI6" i="18" s="1"/>
  <c r="AH5" i="18"/>
  <c r="AG5" i="18"/>
  <c r="AC5" i="18"/>
  <c r="AI5" i="18" s="1"/>
  <c r="AH4" i="18"/>
  <c r="AG4" i="18"/>
  <c r="AC4" i="18"/>
  <c r="AI4" i="18" s="1"/>
  <c r="AN3" i="18"/>
  <c r="AO3" i="18" s="1"/>
  <c r="AP3" i="18" s="1"/>
  <c r="AI3" i="18"/>
  <c r="AH3" i="18"/>
  <c r="AG3" i="18"/>
  <c r="AC3" i="18"/>
  <c r="AD2" i="18"/>
  <c r="J58" i="18" l="1"/>
  <c r="J50" i="18"/>
  <c r="AN20" i="18"/>
  <c r="AO20" i="18" s="1"/>
  <c r="AP20" i="18" s="1"/>
  <c r="AN36" i="18"/>
  <c r="AO36" i="18" s="1"/>
  <c r="AP36" i="18" s="1"/>
  <c r="AN8" i="18"/>
  <c r="AO8" i="18" s="1"/>
  <c r="AP8" i="18" s="1"/>
  <c r="AN17" i="18"/>
  <c r="AO17" i="18" s="1"/>
  <c r="AP17" i="18" s="1"/>
  <c r="AN24" i="18"/>
  <c r="AO24" i="18" s="1"/>
  <c r="AP24" i="18" s="1"/>
  <c r="AN33" i="18"/>
  <c r="AO33" i="18" s="1"/>
  <c r="AP33" i="18" s="1"/>
  <c r="AN4" i="18"/>
  <c r="AO4" i="18" s="1"/>
  <c r="AP4" i="18" s="1"/>
  <c r="AN10" i="18"/>
  <c r="AO10" i="18" s="1"/>
  <c r="AP10" i="18" s="1"/>
  <c r="AN26" i="18"/>
  <c r="AO26" i="18" s="1"/>
  <c r="AP26" i="18" s="1"/>
  <c r="AN14" i="18"/>
  <c r="AO14" i="18" s="1"/>
  <c r="AP14" i="18" s="1"/>
  <c r="AN5" i="18"/>
  <c r="AO5" i="18" s="1"/>
  <c r="AP5" i="18" s="1"/>
  <c r="AN18" i="18"/>
  <c r="AO18" i="18" s="1"/>
  <c r="AP18" i="18" s="1"/>
  <c r="AN21" i="18"/>
  <c r="AO21" i="18" s="1"/>
  <c r="AP21" i="18" s="1"/>
  <c r="AN34" i="18"/>
  <c r="AO34" i="18" s="1"/>
  <c r="AP34" i="18" s="1"/>
  <c r="AN37" i="18"/>
  <c r="AO37" i="18" s="1"/>
  <c r="AP37" i="18" s="1"/>
  <c r="J46" i="18"/>
  <c r="J54" i="18"/>
  <c r="N45" i="18"/>
  <c r="J48" i="18"/>
  <c r="J56" i="18"/>
  <c r="N47" i="18"/>
  <c r="AN30" i="18"/>
  <c r="AO30" i="18" s="1"/>
  <c r="AP30" i="18" s="1"/>
  <c r="J52" i="18"/>
  <c r="K46" i="18"/>
  <c r="K48" i="18"/>
  <c r="K50" i="18"/>
  <c r="K52" i="18"/>
  <c r="K54" i="18"/>
  <c r="K56" i="18"/>
  <c r="K58" i="18"/>
  <c r="M46" i="18"/>
  <c r="J45" i="18"/>
  <c r="J47" i="18"/>
  <c r="J49" i="18"/>
  <c r="J51" i="18"/>
  <c r="J53" i="18"/>
  <c r="J55" i="18"/>
  <c r="J57" i="18"/>
  <c r="N46" i="18"/>
  <c r="M48" i="18"/>
  <c r="K45" i="18"/>
  <c r="K47" i="18"/>
  <c r="K49" i="18"/>
  <c r="K51" i="18"/>
  <c r="K53" i="18"/>
  <c r="K55" i="18"/>
  <c r="M45" i="18"/>
</calcChain>
</file>

<file path=xl/sharedStrings.xml><?xml version="1.0" encoding="utf-8"?>
<sst xmlns="http://schemas.openxmlformats.org/spreadsheetml/2006/main" count="150" uniqueCount="89">
  <si>
    <t>TotalCycle</t>
  </si>
  <si>
    <t>arithmetic</t>
  </si>
  <si>
    <t>float</t>
  </si>
  <si>
    <t>load</t>
  </si>
  <si>
    <t>store</t>
  </si>
  <si>
    <t>callret</t>
  </si>
  <si>
    <t>ldcount</t>
  </si>
  <si>
    <t>stcount</t>
  </si>
  <si>
    <t>命令</t>
    <rPh sb="0" eb="2">
      <t>メイレイ</t>
    </rPh>
    <phoneticPr fontId="18"/>
  </si>
  <si>
    <t>見積サイクル</t>
    <rPh sb="0" eb="2">
      <t>ミツモリ</t>
    </rPh>
    <phoneticPr fontId="18"/>
  </si>
  <si>
    <t>arithmetic_d</t>
  </si>
  <si>
    <t>float_d</t>
  </si>
  <si>
    <t>load_d</t>
  </si>
  <si>
    <t>others1</t>
  </si>
  <si>
    <t>others2</t>
  </si>
  <si>
    <t>FunctionCallTest.c</t>
  </si>
  <si>
    <t>RadixConversion.c</t>
  </si>
  <si>
    <t>CelsiustoFahren.c</t>
  </si>
  <si>
    <t>GaussianElimination.c</t>
  </si>
  <si>
    <t>RadixConversion_F.c</t>
  </si>
  <si>
    <t>EuclideanAlgorithm.c</t>
  </si>
  <si>
    <t>hanoi.c</t>
  </si>
  <si>
    <t>SeriesSum.c</t>
  </si>
  <si>
    <t>MergeSort.c</t>
  </si>
  <si>
    <t>SimpleFilterProcess.c</t>
  </si>
  <si>
    <t>Exchange_F.c</t>
  </si>
  <si>
    <t>NapierNumber.c</t>
  </si>
  <si>
    <t>sum.c</t>
  </si>
  <si>
    <t>fadd.c</t>
  </si>
  <si>
    <t>NumberPlace.c</t>
  </si>
  <si>
    <t>PerfectNumber.c</t>
  </si>
  <si>
    <t>Fibonacci.c</t>
  </si>
  <si>
    <t>PerfectNumber_F.c</t>
  </si>
  <si>
    <t>Fibonacci_F.c</t>
  </si>
  <si>
    <t>PrimeNumber.c</t>
  </si>
  <si>
    <t>QuickSort.c</t>
  </si>
  <si>
    <t>変数</t>
    <rPh sb="0" eb="2">
      <t>ヘンスウ</t>
    </rPh>
    <phoneticPr fontId="18"/>
  </si>
  <si>
    <t>レイテンシ</t>
    <phoneticPr fontId="18"/>
  </si>
  <si>
    <t>fdiv</t>
  </si>
  <si>
    <t>fdiv_d</t>
  </si>
  <si>
    <t>div</t>
  </si>
  <si>
    <t>div_d</t>
  </si>
  <si>
    <t>Functions2.c</t>
    <phoneticPr fontId="18"/>
  </si>
  <si>
    <t>Insertionsort.c</t>
  </si>
  <si>
    <t>Shellsort.c</t>
  </si>
  <si>
    <t>Functions5.c</t>
  </si>
  <si>
    <t>Functions6.c</t>
  </si>
  <si>
    <t>Functions7.c</t>
  </si>
  <si>
    <t>Functions8.c</t>
  </si>
  <si>
    <t>Functions9.c</t>
  </si>
  <si>
    <t>Functions10.c</t>
  </si>
  <si>
    <t>Functions12.c</t>
  </si>
  <si>
    <t>Functions13.c</t>
  </si>
  <si>
    <t>BubbleSort.c</t>
    <phoneticPr fontId="18"/>
  </si>
  <si>
    <t>Exchange.c</t>
    <phoneticPr fontId="18"/>
  </si>
  <si>
    <t>fcmp.c</t>
    <phoneticPr fontId="18"/>
  </si>
  <si>
    <t>fmul.c</t>
    <phoneticPr fontId="18"/>
  </si>
  <si>
    <t>CacheAccess</t>
    <phoneticPr fontId="18"/>
  </si>
  <si>
    <t>MemRead</t>
    <phoneticPr fontId="18"/>
  </si>
  <si>
    <t>MemWrite</t>
    <phoneticPr fontId="18"/>
  </si>
  <si>
    <t>Overhead</t>
    <phoneticPr fontId="18"/>
  </si>
  <si>
    <t>誤差の2乗</t>
    <rPh sb="0" eb="2">
      <t>ゴサ</t>
    </rPh>
    <rPh sb="4" eb="5">
      <t>ジョウ</t>
    </rPh>
    <phoneticPr fontId="18"/>
  </si>
  <si>
    <t>合計</t>
    <rPh sb="0" eb="2">
      <t>ゴウケイ</t>
    </rPh>
    <phoneticPr fontId="18"/>
  </si>
  <si>
    <t>誤差率</t>
    <rPh sb="0" eb="2">
      <t>ゴサ</t>
    </rPh>
    <rPh sb="2" eb="3">
      <t>リツ</t>
    </rPh>
    <phoneticPr fontId="18"/>
  </si>
  <si>
    <t>mul</t>
    <phoneticPr fontId="18"/>
  </si>
  <si>
    <t>mul_d</t>
    <phoneticPr fontId="18"/>
  </si>
  <si>
    <t>fmul</t>
    <phoneticPr fontId="18"/>
  </si>
  <si>
    <t>fmul_d</t>
    <phoneticPr fontId="18"/>
  </si>
  <si>
    <t>Latency</t>
    <phoneticPr fontId="18"/>
  </si>
  <si>
    <t>Sum</t>
    <phoneticPr fontId="18"/>
  </si>
  <si>
    <t>RegRead</t>
    <phoneticPr fontId="18"/>
  </si>
  <si>
    <t>RegWrite</t>
    <phoneticPr fontId="18"/>
  </si>
  <si>
    <t>RegDep</t>
    <phoneticPr fontId="18"/>
  </si>
  <si>
    <t>RegMissRate</t>
    <phoneticPr fontId="18"/>
  </si>
  <si>
    <t>L1missRate</t>
    <phoneticPr fontId="18"/>
  </si>
  <si>
    <t>L1missRate(%)</t>
    <phoneticPr fontId="18"/>
  </si>
  <si>
    <t>L1Access</t>
    <phoneticPr fontId="18"/>
  </si>
  <si>
    <t>RegMiss</t>
    <phoneticPr fontId="18"/>
  </si>
  <si>
    <t>VarOpe</t>
    <phoneticPr fontId="18"/>
  </si>
  <si>
    <t>RegOpe</t>
    <phoneticPr fontId="18"/>
  </si>
  <si>
    <t>Constant</t>
    <phoneticPr fontId="18"/>
  </si>
  <si>
    <t>TotalCycle</t>
    <phoneticPr fontId="18"/>
  </si>
  <si>
    <t>Estimation Cycle</t>
  </si>
  <si>
    <t>(Total - Estimation) Cycle</t>
    <phoneticPr fontId="18"/>
  </si>
  <si>
    <t>Error rate of estimation cycle(%)</t>
    <phoneticPr fontId="18"/>
  </si>
  <si>
    <t>store_d</t>
    <phoneticPr fontId="18"/>
  </si>
  <si>
    <t>callret_d</t>
    <phoneticPr fontId="18"/>
  </si>
  <si>
    <t>others1_d</t>
    <phoneticPr fontId="18"/>
  </si>
  <si>
    <t>others2_d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</si>
</sst>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0000_ "/>
    <numFmt numFmtId="177" formatCode="0.000000"/>
    <numFmt numFmtId="178" formatCode="0.00_ "/>
  </numFmts>
  <fonts count="2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>
      <alignment vertical="center"/>
    </xf>
    <xf numFmtId="0" fontId="1" fillId="0" borderId="0" xfId="42">
      <alignment vertical="center"/>
    </xf>
    <xf numFmtId="0" fontId="1" fillId="35" borderId="0" xfId="42" applyFill="1">
      <alignment vertical="center"/>
    </xf>
    <xf numFmtId="0" fontId="1" fillId="36" borderId="0" xfId="42" applyFill="1">
      <alignment vertical="center"/>
    </xf>
    <xf numFmtId="0" fontId="1" fillId="33" borderId="0" xfId="42" applyFill="1">
      <alignment vertical="center"/>
    </xf>
    <xf numFmtId="0" fontId="1" fillId="34" borderId="0" xfId="42" applyFill="1">
      <alignment vertical="center"/>
    </xf>
    <xf numFmtId="0" fontId="14" fillId="0" borderId="0" xfId="42" applyFont="1" applyFill="1">
      <alignment vertical="center"/>
    </xf>
    <xf numFmtId="0" fontId="1" fillId="37" borderId="0" xfId="42" applyFill="1">
      <alignment vertical="center"/>
    </xf>
    <xf numFmtId="178" fontId="1" fillId="0" borderId="0" xfId="42" applyNumberFormat="1">
      <alignment vertical="center"/>
    </xf>
    <xf numFmtId="1" fontId="1" fillId="0" borderId="0" xfId="42" applyNumberFormat="1">
      <alignment vertical="center"/>
    </xf>
    <xf numFmtId="2" fontId="1" fillId="33" borderId="0" xfId="42" applyNumberFormat="1" applyFill="1">
      <alignment vertical="center"/>
    </xf>
    <xf numFmtId="0" fontId="19" fillId="0" borderId="0" xfId="42" applyFont="1" applyFill="1">
      <alignment vertical="center"/>
    </xf>
    <xf numFmtId="0" fontId="1" fillId="0" borderId="0" xfId="42" applyFill="1">
      <alignment vertical="center"/>
    </xf>
    <xf numFmtId="2" fontId="1" fillId="0" borderId="0" xfId="42" applyNumberFormat="1" applyFill="1">
      <alignment vertical="center"/>
    </xf>
    <xf numFmtId="0" fontId="1" fillId="0" borderId="10" xfId="42" applyBorder="1" applyAlignment="1">
      <alignment horizontal="center" vertical="center"/>
    </xf>
    <xf numFmtId="0" fontId="1" fillId="0" borderId="0" xfId="42" applyBorder="1" applyAlignment="1">
      <alignment horizontal="center" vertical="center"/>
    </xf>
    <xf numFmtId="0" fontId="1" fillId="0" borderId="10" xfId="42" applyBorder="1">
      <alignment vertical="center"/>
    </xf>
    <xf numFmtId="177" fontId="1" fillId="0" borderId="10" xfId="42" applyNumberFormat="1" applyBorder="1">
      <alignment vertical="center"/>
    </xf>
    <xf numFmtId="177" fontId="1" fillId="0" borderId="11" xfId="42" applyNumberFormat="1" applyBorder="1">
      <alignment vertical="center"/>
    </xf>
    <xf numFmtId="0" fontId="1" fillId="0" borderId="11" xfId="42" applyBorder="1" applyAlignment="1">
      <alignment horizontal="center" vertical="center"/>
    </xf>
    <xf numFmtId="0" fontId="1" fillId="0" borderId="0" xfId="42" applyBorder="1" applyAlignment="1">
      <alignment horizontal="right" vertical="center"/>
    </xf>
    <xf numFmtId="177" fontId="1" fillId="0" borderId="10" xfId="42" applyNumberFormat="1" applyBorder="1" applyAlignment="1">
      <alignment horizontal="right" vertical="center"/>
    </xf>
    <xf numFmtId="177" fontId="1" fillId="0" borderId="0" xfId="42" applyNumberFormat="1" applyBorder="1">
      <alignment vertical="center"/>
    </xf>
    <xf numFmtId="0" fontId="14" fillId="37" borderId="0" xfId="42" applyFont="1" applyFill="1">
      <alignment vertical="center"/>
    </xf>
    <xf numFmtId="0" fontId="1" fillId="38" borderId="0" xfId="42" applyFill="1">
      <alignment vertical="center"/>
    </xf>
    <xf numFmtId="176" fontId="1" fillId="37" borderId="0" xfId="42" applyNumberFormat="1" applyFill="1">
      <alignment vertical="center"/>
    </xf>
    <xf numFmtId="1" fontId="1" fillId="37" borderId="0" xfId="42" applyNumberFormat="1" applyFill="1">
      <alignment vertical="center"/>
    </xf>
    <xf numFmtId="0" fontId="1" fillId="39" borderId="0" xfId="42" applyFill="1">
      <alignment vertical="center"/>
    </xf>
    <xf numFmtId="0" fontId="1" fillId="40" borderId="0" xfId="42" applyFill="1">
      <alignment vertical="center"/>
    </xf>
    <xf numFmtId="0" fontId="1" fillId="41" borderId="0" xfId="42" applyFill="1">
      <alignment vertical="center"/>
    </xf>
    <xf numFmtId="0" fontId="0" fillId="0" borderId="0" xfId="42" applyFont="1">
      <alignment vertical="center"/>
    </xf>
    <xf numFmtId="0" fontId="0" fillId="34" borderId="0" xfId="42" applyFont="1" applyFill="1">
      <alignment vertical="center"/>
    </xf>
    <xf numFmtId="0" fontId="0" fillId="36" borderId="0" xfId="42" applyFont="1" applyFill="1">
      <alignment vertical="center"/>
    </xf>
    <xf numFmtId="0" fontId="0" fillId="33" borderId="0" xfId="42" applyFont="1" applyFill="1">
      <alignment vertical="center"/>
    </xf>
    <xf numFmtId="0" fontId="0" fillId="40" borderId="0" xfId="42" applyFont="1" applyFill="1">
      <alignment vertical="center"/>
    </xf>
    <xf numFmtId="1" fontId="0" fillId="37" borderId="0" xfId="42" applyNumberFormat="1" applyFont="1" applyFill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2" xr:uid="{22731BBA-78F8-4755-824C-AFA16B4A4286}"/>
    <cellStyle name="良い" xfId="6" builtinId="26" customBuiltin="1"/>
  </cellStyles>
  <dxfs count="2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見積りサイクル数の誤差率</a:t>
            </a:r>
            <a:r>
              <a:rPr lang="en-US" altLang="ja-JP"/>
              <a:t>(%)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summary!$AP$3:$AP$38</c:f>
              <c:numCache>
                <c:formatCode>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65-4CD2-9742-265AD8A41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2054864"/>
        <c:axId val="222050552"/>
      </c:barChart>
      <c:catAx>
        <c:axId val="222054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2050552"/>
        <c:crosses val="autoZero"/>
        <c:auto val="1"/>
        <c:lblAlgn val="ctr"/>
        <c:lblOffset val="100"/>
        <c:noMultiLvlLbl val="0"/>
      </c:catAx>
      <c:valAx>
        <c:axId val="22205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205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L1</a:t>
            </a:r>
            <a:r>
              <a:rPr lang="ja-JP" altLang="en-US"/>
              <a:t>ミス率</a:t>
            </a:r>
            <a:r>
              <a:rPr lang="en-US" altLang="ja-JP"/>
              <a:t>(%)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summary!$AE$3:$AE$38</c:f>
              <c:numCache>
                <c:formatCode>0.00_ </c:formatCode>
                <c:ptCount val="36"/>
                <c:pt idx="0">
                  <c:v>2.4371866281422169E-4</c:v>
                </c:pt>
                <c:pt idx="1">
                  <c:v>1.6081566964060433E-4</c:v>
                </c:pt>
                <c:pt idx="2">
                  <c:v>6.8397845201629507E-4</c:v>
                </c:pt>
                <c:pt idx="3">
                  <c:v>1.2209195850036192E-5</c:v>
                </c:pt>
                <c:pt idx="4">
                  <c:v>6.1835775053681612E-4</c:v>
                </c:pt>
                <c:pt idx="5">
                  <c:v>1.4871615644441864E-3</c:v>
                </c:pt>
                <c:pt idx="6">
                  <c:v>-1.9173927548971276E-5</c:v>
                </c:pt>
                <c:pt idx="7">
                  <c:v>5.4073514599848943E-4</c:v>
                </c:pt>
                <c:pt idx="8">
                  <c:v>4.2043611048700013E-4</c:v>
                </c:pt>
                <c:pt idx="9">
                  <c:v>1.3271844616104232E-3</c:v>
                </c:pt>
                <c:pt idx="10">
                  <c:v>1.7458187848434596E-3</c:v>
                </c:pt>
                <c:pt idx="11">
                  <c:v>1.1486973151528698E-4</c:v>
                </c:pt>
                <c:pt idx="12">
                  <c:v>2.9955468772800432E-4</c:v>
                </c:pt>
                <c:pt idx="13">
                  <c:v>2.1242101723507956E-3</c:v>
                </c:pt>
                <c:pt idx="14">
                  <c:v>2.3185188715860575E-3</c:v>
                </c:pt>
                <c:pt idx="15">
                  <c:v>2.0154840646775441E-4</c:v>
                </c:pt>
                <c:pt idx="16">
                  <c:v>1.288306360560297E-4</c:v>
                </c:pt>
                <c:pt idx="17">
                  <c:v>1.3996281538866093E-4</c:v>
                </c:pt>
                <c:pt idx="18">
                  <c:v>3.4838615543497599E-4</c:v>
                </c:pt>
                <c:pt idx="19">
                  <c:v>1.3804128022651442E-3</c:v>
                </c:pt>
                <c:pt idx="20">
                  <c:v>4.5984708276110791E-4</c:v>
                </c:pt>
                <c:pt idx="21">
                  <c:v>7.1621938481870699E-4</c:v>
                </c:pt>
                <c:pt idx="22">
                  <c:v>7.5251600561691075E-4</c:v>
                </c:pt>
                <c:pt idx="23">
                  <c:v>6.9418177772833463E-4</c:v>
                </c:pt>
                <c:pt idx="24">
                  <c:v>7.473288409362911E-4</c:v>
                </c:pt>
                <c:pt idx="25">
                  <c:v>3.940547990599776E-4</c:v>
                </c:pt>
                <c:pt idx="26">
                  <c:v>6.6057476592416386E-4</c:v>
                </c:pt>
                <c:pt idx="27">
                  <c:v>4.181550439587677E-3</c:v>
                </c:pt>
                <c:pt idx="28">
                  <c:v>2.9467325471871857E-4</c:v>
                </c:pt>
                <c:pt idx="29">
                  <c:v>1.6532435771258679E-3</c:v>
                </c:pt>
                <c:pt idx="30">
                  <c:v>1.298499049156524E-3</c:v>
                </c:pt>
                <c:pt idx="31">
                  <c:v>7.1500425597771416E-4</c:v>
                </c:pt>
                <c:pt idx="32">
                  <c:v>2.4576159167347977E-3</c:v>
                </c:pt>
                <c:pt idx="33">
                  <c:v>3.060295687462767E-3</c:v>
                </c:pt>
                <c:pt idx="34">
                  <c:v>9.7406373575250054E-4</c:v>
                </c:pt>
                <c:pt idx="35">
                  <c:v>3.517873140804045E-5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F5-40A8-BAB1-D2CAEF3D5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2053296"/>
        <c:axId val="222053688"/>
      </c:barChart>
      <c:catAx>
        <c:axId val="22205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2053688"/>
        <c:crosses val="autoZero"/>
        <c:auto val="1"/>
        <c:lblAlgn val="ctr"/>
        <c:lblOffset val="100"/>
        <c:noMultiLvlLbl val="0"/>
      </c:catAx>
      <c:valAx>
        <c:axId val="22205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20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187324</xdr:colOff>
      <xdr:row>41</xdr:row>
      <xdr:rowOff>190499</xdr:rowOff>
    </xdr:from>
    <xdr:to>
      <xdr:col>26</xdr:col>
      <xdr:colOff>514350</xdr:colOff>
      <xdr:row>60</xdr:row>
      <xdr:rowOff>85725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BE76721-C36E-4459-B3CB-D27A4EDCEC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482600</xdr:colOff>
      <xdr:row>46</xdr:row>
      <xdr:rowOff>79375</xdr:rowOff>
    </xdr:from>
    <xdr:to>
      <xdr:col>41</xdr:col>
      <xdr:colOff>1600200</xdr:colOff>
      <xdr:row>66</xdr:row>
      <xdr:rowOff>133350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DF74272-5D87-4BD8-9403-671B67DF1E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463550</xdr:colOff>
      <xdr:row>39</xdr:row>
      <xdr:rowOff>215900</xdr:rowOff>
    </xdr:from>
    <xdr:to>
      <xdr:col>35</xdr:col>
      <xdr:colOff>438150</xdr:colOff>
      <xdr:row>44</xdr:row>
      <xdr:rowOff>44450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54E6871-3B5C-44B4-8ABA-2E5F77A3C1E3}"/>
            </a:ext>
          </a:extLst>
        </xdr:cNvPr>
        <xdr:cNvSpPr/>
      </xdr:nvSpPr>
      <xdr:spPr>
        <a:xfrm>
          <a:off x="23733125" y="11407775"/>
          <a:ext cx="7670800" cy="101917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レジスタミス率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= (L1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アクセス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- (load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回数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+ store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回数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)) / (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レジスタ読込回数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+ 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レジスタ書込回数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)</a:t>
          </a:r>
        </a:p>
        <a:p>
          <a:pPr algn="l"/>
          <a:r>
            <a:rPr kumimoji="1" lang="ja-JP" altLang="en-US" sz="1200" baseline="0">
              <a:solidFill>
                <a:sysClr val="windowText" lastClr="000000"/>
              </a:solidFill>
            </a:rPr>
            <a:t>メモリ読込回数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=  load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回数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 * L1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ミス率</a:t>
          </a:r>
          <a:endParaRPr kumimoji="1" lang="en-US" altLang="ja-JP" sz="1200" baseline="0">
            <a:solidFill>
              <a:sysClr val="windowText" lastClr="00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メモリ</a:t>
          </a:r>
          <a:r>
            <a:rPr kumimoji="1" lang="ja-JP" altLang="en-US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書込</a:t>
          </a:r>
          <a:r>
            <a:rPr kumimoji="1" lang="ja-JP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回数 </a:t>
          </a:r>
          <a:r>
            <a:rPr kumimoji="1" lang="en-US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= store</a:t>
          </a:r>
          <a:r>
            <a:rPr kumimoji="1" lang="ja-JP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回数</a:t>
          </a:r>
          <a:r>
            <a:rPr kumimoji="1" lang="en-US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* L1</a:t>
          </a:r>
          <a:r>
            <a:rPr kumimoji="1" lang="ja-JP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ミス率</a:t>
          </a:r>
          <a:endParaRPr lang="ja-JP" altLang="ja-JP" sz="1200">
            <a:solidFill>
              <a:sysClr val="windowText" lastClr="000000"/>
            </a:solidFill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901700</xdr:colOff>
      <xdr:row>45</xdr:row>
      <xdr:rowOff>120650</xdr:rowOff>
    </xdr:from>
    <xdr:to>
      <xdr:col>33</xdr:col>
      <xdr:colOff>520700</xdr:colOff>
      <xdr:row>51</xdr:row>
      <xdr:rowOff>6350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7160CA6A-2FA6-4DEF-919F-D7BEB4676E7F}"/>
            </a:ext>
          </a:extLst>
        </xdr:cNvPr>
        <xdr:cNvSpPr/>
      </xdr:nvSpPr>
      <xdr:spPr>
        <a:xfrm>
          <a:off x="26095325" y="12741275"/>
          <a:ext cx="3467100" cy="13144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実機から取得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</a:t>
          </a:r>
          <a:r>
            <a:rPr kumimoji="1" lang="en-US" altLang="ja-JP" sz="1200">
              <a:solidFill>
                <a:sysClr val="windowText" lastClr="000000"/>
              </a:solidFill>
            </a:rPr>
            <a:t>L1</a:t>
          </a:r>
          <a:r>
            <a:rPr kumimoji="1" lang="ja-JP" altLang="en-US" sz="1200">
              <a:solidFill>
                <a:sysClr val="windowText" lastClr="000000"/>
              </a:solidFill>
            </a:rPr>
            <a:t>アクセス回数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</a:t>
          </a:r>
          <a:r>
            <a:rPr kumimoji="1" lang="en-US" altLang="ja-JP" sz="1200">
              <a:solidFill>
                <a:sysClr val="windowText" lastClr="000000"/>
              </a:solidFill>
            </a:rPr>
            <a:t>L1</a:t>
          </a:r>
          <a:r>
            <a:rPr kumimoji="1" lang="ja-JP" altLang="en-US" sz="1200">
              <a:solidFill>
                <a:sysClr val="windowText" lastClr="000000"/>
              </a:solidFill>
            </a:rPr>
            <a:t>ミス率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・実行サイクル数</a:t>
          </a:r>
          <a:r>
            <a:rPr kumimoji="1" lang="en-US" altLang="ja-JP" sz="1200">
              <a:solidFill>
                <a:sysClr val="windowText" lastClr="000000"/>
              </a:solidFill>
            </a:rPr>
            <a:t>(TotalCycle)</a:t>
          </a:r>
          <a:endParaRPr kumimoji="1" lang="ja-JP" alt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26</xdr:col>
      <xdr:colOff>749300</xdr:colOff>
      <xdr:row>45</xdr:row>
      <xdr:rowOff>120650</xdr:rowOff>
    </xdr:from>
    <xdr:to>
      <xdr:col>29</xdr:col>
      <xdr:colOff>698500</xdr:colOff>
      <xdr:row>51</xdr:row>
      <xdr:rowOff>101600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DDB6876-475A-44DC-94E2-57F72D7D3D0C}"/>
            </a:ext>
          </a:extLst>
        </xdr:cNvPr>
        <xdr:cNvSpPr/>
      </xdr:nvSpPr>
      <xdr:spPr>
        <a:xfrm>
          <a:off x="23056850" y="12741275"/>
          <a:ext cx="2835275" cy="14097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200">
              <a:solidFill>
                <a:sysClr val="windowText" lastClr="000000"/>
              </a:solidFill>
            </a:rPr>
            <a:t>LLVM-IR</a:t>
          </a:r>
          <a:r>
            <a:rPr kumimoji="1" lang="ja-JP" altLang="en-US" sz="1200">
              <a:solidFill>
                <a:sysClr val="windowText" lastClr="000000"/>
              </a:solidFill>
            </a:rPr>
            <a:t>のカバレッジツールから取得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・命令実行回数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・レジスタ読込</a:t>
          </a:r>
          <a:r>
            <a:rPr kumimoji="1" lang="en-US" altLang="ja-JP" sz="1200">
              <a:solidFill>
                <a:sysClr val="windowText" lastClr="000000"/>
              </a:solidFill>
            </a:rPr>
            <a:t>/</a:t>
          </a:r>
          <a:r>
            <a:rPr kumimoji="1" lang="ja-JP" altLang="en-US" sz="1200">
              <a:solidFill>
                <a:sysClr val="windowText" lastClr="000000"/>
              </a:solidFill>
            </a:rPr>
            <a:t>書込回数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・レジスタ依存回数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・オペランドの分類結果</a:t>
          </a:r>
        </a:p>
      </xdr:txBody>
    </xdr:sp>
    <xdr:clientData/>
  </xdr:twoCellAnchor>
  <xdr:twoCellAnchor>
    <xdr:from>
      <xdr:col>28</xdr:col>
      <xdr:colOff>552450</xdr:colOff>
      <xdr:row>52</xdr:row>
      <xdr:rowOff>139700</xdr:rowOff>
    </xdr:from>
    <xdr:to>
      <xdr:col>31</xdr:col>
      <xdr:colOff>723900</xdr:colOff>
      <xdr:row>56</xdr:row>
      <xdr:rowOff>184150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80D73DBD-ABC3-4EFA-8E91-F08D93D67A90}"/>
            </a:ext>
          </a:extLst>
        </xdr:cNvPr>
        <xdr:cNvSpPr/>
      </xdr:nvSpPr>
      <xdr:spPr>
        <a:xfrm>
          <a:off x="24784050" y="14427200"/>
          <a:ext cx="3057525" cy="996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取得値から算出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・レジスタミス率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・メモリ読込</a:t>
          </a:r>
          <a:r>
            <a:rPr kumimoji="1" lang="en-US" altLang="ja-JP" sz="1200">
              <a:solidFill>
                <a:sysClr val="windowText" lastClr="000000"/>
              </a:solidFill>
            </a:rPr>
            <a:t>/</a:t>
          </a:r>
          <a:r>
            <a:rPr kumimoji="1" lang="ja-JP" altLang="en-US" sz="1200">
              <a:solidFill>
                <a:sysClr val="windowText" lastClr="000000"/>
              </a:solidFill>
            </a:rPr>
            <a:t>書込回数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endParaRPr kumimoji="1" lang="ja-JP" altLang="en-US" sz="12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781050</xdr:colOff>
      <xdr:row>39</xdr:row>
      <xdr:rowOff>219075</xdr:rowOff>
    </xdr:from>
    <xdr:to>
      <xdr:col>8</xdr:col>
      <xdr:colOff>142875</xdr:colOff>
      <xdr:row>45</xdr:row>
      <xdr:rowOff>161925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8CFD2BA-3EFA-447A-B862-A6E1E26E1407}"/>
            </a:ext>
          </a:extLst>
        </xdr:cNvPr>
        <xdr:cNvSpPr/>
      </xdr:nvSpPr>
      <xdr:spPr>
        <a:xfrm>
          <a:off x="781050" y="9505950"/>
          <a:ext cx="6638925" cy="13716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chemeClr val="tx1"/>
              </a:solidFill>
            </a:rPr>
            <a:t>○ソルバー機能を用いて誤差の</a:t>
          </a:r>
          <a:r>
            <a:rPr kumimoji="1" lang="en-US" altLang="ja-JP" sz="1600">
              <a:solidFill>
                <a:schemeClr val="tx1"/>
              </a:solidFill>
            </a:rPr>
            <a:t>2</a:t>
          </a:r>
          <a:r>
            <a:rPr kumimoji="1" lang="ja-JP" altLang="en-US" sz="1600">
              <a:solidFill>
                <a:schemeClr val="tx1"/>
              </a:solidFill>
            </a:rPr>
            <a:t>乗の和を最小にする</a:t>
          </a:r>
          <a:endParaRPr kumimoji="1" lang="en-US" altLang="ja-JP" sz="16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(</a:t>
          </a:r>
          <a:r>
            <a:rPr kumimoji="1" lang="ja-JP" altLang="en-US" sz="1200">
              <a:solidFill>
                <a:schemeClr val="tx1"/>
              </a:solidFill>
            </a:rPr>
            <a:t>制約条件</a:t>
          </a:r>
          <a:r>
            <a:rPr kumimoji="1" lang="en-US" altLang="ja-JP" sz="1200">
              <a:solidFill>
                <a:schemeClr val="tx1"/>
              </a:solidFill>
            </a:rPr>
            <a:t>)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・レイテンシは非負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・誤差率は</a:t>
          </a:r>
          <a:r>
            <a:rPr kumimoji="1" lang="en-US" altLang="ja-JP" sz="1200">
              <a:solidFill>
                <a:schemeClr val="tx1"/>
              </a:solidFill>
            </a:rPr>
            <a:t>±20%</a:t>
          </a:r>
          <a:r>
            <a:rPr kumimoji="1" lang="ja-JP" altLang="en-US" sz="1200">
              <a:solidFill>
                <a:schemeClr val="tx1"/>
              </a:solidFill>
            </a:rPr>
            <a:t>以内を目指す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C2C20-5E88-4D0C-879E-370EA746100D}">
  <sheetPr codeName="Sheet1"/>
  <dimension ref="A1:AP58"/>
  <sheetViews>
    <sheetView zoomScale="85" zoomScaleNormal="85" workbookViewId="0">
      <pane xSplit="1" ySplit="1" topLeftCell="U2" activePane="bottomRight" state="frozen"/>
      <selection activeCell="O4" sqref="O4"/>
      <selection pane="topRight" activeCell="O4" sqref="O4"/>
      <selection pane="bottomLeft" activeCell="O4" sqref="O4"/>
      <selection pane="bottomRight" activeCell="AC4" sqref="AC4"/>
    </sheetView>
  </sheetViews>
  <sheetFormatPr defaultRowHeight="18.75" x14ac:dyDescent="0.4"/>
  <cols>
    <col min="1" max="1" width="27.625" style="1" customWidth="1"/>
    <col min="2" max="39" width="12.625" style="1" customWidth="1"/>
    <col min="40" max="40" width="14.375" style="1" customWidth="1"/>
    <col min="41" max="41" width="26" style="1" customWidth="1"/>
    <col min="42" max="42" width="23.375" style="1" customWidth="1"/>
    <col min="43" max="46" width="9" style="1"/>
    <col min="47" max="47" width="5.125" style="1" customWidth="1"/>
    <col min="48" max="48" width="25.875" style="1" customWidth="1"/>
    <col min="49" max="49" width="5.125" style="1" customWidth="1"/>
    <col min="50" max="50" width="25.75" style="1" customWidth="1"/>
    <col min="51" max="51" width="5.125" style="1" customWidth="1"/>
    <col min="52" max="52" width="25.875" style="1" customWidth="1"/>
    <col min="53" max="16384" width="9" style="1"/>
  </cols>
  <sheetData>
    <row r="1" spans="1:42" x14ac:dyDescent="0.4">
      <c r="B1" s="1" t="s">
        <v>1</v>
      </c>
      <c r="C1" s="1" t="s">
        <v>64</v>
      </c>
      <c r="D1" s="1" t="s">
        <v>40</v>
      </c>
      <c r="E1" s="1" t="s">
        <v>10</v>
      </c>
      <c r="F1" s="1" t="s">
        <v>65</v>
      </c>
      <c r="G1" s="1" t="s">
        <v>41</v>
      </c>
      <c r="H1" s="1" t="s">
        <v>2</v>
      </c>
      <c r="I1" s="1" t="s">
        <v>66</v>
      </c>
      <c r="J1" s="1" t="s">
        <v>38</v>
      </c>
      <c r="K1" s="1" t="s">
        <v>11</v>
      </c>
      <c r="L1" s="1" t="s">
        <v>67</v>
      </c>
      <c r="M1" s="1" t="s">
        <v>39</v>
      </c>
      <c r="N1" s="1" t="s">
        <v>3</v>
      </c>
      <c r="O1" s="1" t="s">
        <v>12</v>
      </c>
      <c r="P1" s="1" t="s">
        <v>4</v>
      </c>
      <c r="Q1" s="30" t="s">
        <v>85</v>
      </c>
      <c r="R1" s="1" t="s">
        <v>5</v>
      </c>
      <c r="S1" s="30" t="s">
        <v>86</v>
      </c>
      <c r="T1" s="1" t="s">
        <v>13</v>
      </c>
      <c r="U1" s="30" t="s">
        <v>87</v>
      </c>
      <c r="V1" s="1" t="s">
        <v>14</v>
      </c>
      <c r="W1" s="30" t="s">
        <v>88</v>
      </c>
      <c r="X1" s="1" t="s">
        <v>6</v>
      </c>
      <c r="Y1" s="1" t="s">
        <v>7</v>
      </c>
      <c r="Z1" s="30" t="s">
        <v>70</v>
      </c>
      <c r="AA1" s="30" t="s">
        <v>71</v>
      </c>
      <c r="AB1" s="30" t="s">
        <v>72</v>
      </c>
      <c r="AC1" s="30" t="s">
        <v>73</v>
      </c>
      <c r="AD1" s="30" t="s">
        <v>74</v>
      </c>
      <c r="AE1" s="30" t="s">
        <v>75</v>
      </c>
      <c r="AF1" s="30" t="s">
        <v>76</v>
      </c>
      <c r="AG1" s="30" t="s">
        <v>58</v>
      </c>
      <c r="AH1" s="30" t="s">
        <v>59</v>
      </c>
      <c r="AI1" s="30" t="s">
        <v>77</v>
      </c>
      <c r="AJ1" s="30" t="s">
        <v>78</v>
      </c>
      <c r="AK1" s="30" t="s">
        <v>79</v>
      </c>
      <c r="AL1" s="30" t="s">
        <v>80</v>
      </c>
      <c r="AM1" s="30" t="s">
        <v>81</v>
      </c>
      <c r="AN1" s="2" t="s">
        <v>82</v>
      </c>
      <c r="AO1" s="32" t="s">
        <v>83</v>
      </c>
      <c r="AP1" s="33" t="s">
        <v>84</v>
      </c>
    </row>
    <row r="2" spans="1:42" x14ac:dyDescent="0.4">
      <c r="A2" s="31" t="s">
        <v>68</v>
      </c>
      <c r="B2" s="5">
        <v>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6"/>
      <c r="AC2" s="30" t="s">
        <v>69</v>
      </c>
      <c r="AD2" s="27">
        <f>SUM(AD3:AD38)</f>
        <v>0</v>
      </c>
      <c r="AF2" s="5">
        <v>0</v>
      </c>
      <c r="AG2" s="5">
        <v>0</v>
      </c>
      <c r="AH2" s="5">
        <v>0</v>
      </c>
      <c r="AL2" s="5"/>
      <c r="AN2" s="2"/>
      <c r="AO2" s="3"/>
      <c r="AP2" s="4"/>
    </row>
    <row r="3" spans="1:42" x14ac:dyDescent="0.4">
      <c r="A3" s="1" t="s">
        <v>53</v>
      </c>
      <c r="B3">
        <v>0</v>
      </c>
      <c r="C3">
        <v>0</v>
      </c>
      <c r="D3">
        <v>0</v>
      </c>
      <c r="E3">
        <v>22942</v>
      </c>
      <c r="F3">
        <v>0</v>
      </c>
      <c r="G3">
        <v>0</v>
      </c>
      <c r="H3">
        <v>0</v>
      </c>
      <c r="I3">
        <v>300</v>
      </c>
      <c r="J3">
        <v>0</v>
      </c>
      <c r="K3">
        <v>200</v>
      </c>
      <c r="L3">
        <v>100</v>
      </c>
      <c r="M3">
        <v>100</v>
      </c>
      <c r="N3">
        <v>27521</v>
      </c>
      <c r="O3">
        <v>32053</v>
      </c>
      <c r="P3">
        <v>9114</v>
      </c>
      <c r="Q3">
        <v>0</v>
      </c>
      <c r="R3">
        <v>203</v>
      </c>
      <c r="S3">
        <v>0</v>
      </c>
      <c r="T3">
        <v>100</v>
      </c>
      <c r="U3">
        <v>15180</v>
      </c>
      <c r="V3">
        <v>21825</v>
      </c>
      <c r="W3">
        <v>14880</v>
      </c>
      <c r="X3" s="1">
        <v>59574</v>
      </c>
      <c r="Y3" s="1">
        <v>9012</v>
      </c>
      <c r="Z3" s="1">
        <v>181413</v>
      </c>
      <c r="AA3" s="1">
        <v>113478</v>
      </c>
      <c r="AB3" s="1">
        <v>85455</v>
      </c>
      <c r="AC3" s="1">
        <f t="shared" ref="AC3:AC38" si="0">(AF3-X3-Y3)/(Z3+AA3)</f>
        <v>-0.23258085190799313</v>
      </c>
      <c r="AD3" s="25"/>
      <c r="AE3" s="8">
        <v>2.4371866281422169E-4</v>
      </c>
      <c r="AF3" s="26"/>
      <c r="AG3" s="9">
        <f>X3*AD3</f>
        <v>0</v>
      </c>
      <c r="AH3" s="9">
        <f t="shared" ref="AH3:AH38" si="1">Y3*AD3</f>
        <v>0</v>
      </c>
      <c r="AI3" s="9">
        <f t="shared" ref="AI3:AI38" si="2">(Z3+AA3)*AC3</f>
        <v>-68586</v>
      </c>
      <c r="AJ3" s="9">
        <v>19</v>
      </c>
      <c r="AK3" s="9">
        <v>80</v>
      </c>
      <c r="AL3" s="9">
        <v>1</v>
      </c>
      <c r="AM3" s="7"/>
      <c r="AN3" s="2" t="e">
        <f t="shared" ref="AN3:AN38" si="3">SUMPRODUCT(B$2:V$2,B3:V3)+SUMPRODUCT(AF$2:AH$2,AF3:AH3)+SUMPRODUCT(AL$2,AL3)</f>
        <v>#VALUE!</v>
      </c>
      <c r="AO3" s="3" t="e">
        <f>AM3-AN3</f>
        <v>#VALUE!</v>
      </c>
      <c r="AP3" s="10" t="e">
        <f>AO3/AM3 * 100</f>
        <v>#VALUE!</v>
      </c>
    </row>
    <row r="4" spans="1:42" x14ac:dyDescent="0.4">
      <c r="A4" s="1" t="s">
        <v>17</v>
      </c>
      <c r="B4">
        <v>0</v>
      </c>
      <c r="C4">
        <v>0</v>
      </c>
      <c r="D4">
        <v>0</v>
      </c>
      <c r="E4">
        <v>2002000</v>
      </c>
      <c r="F4">
        <v>0</v>
      </c>
      <c r="G4">
        <v>0</v>
      </c>
      <c r="H4">
        <v>0</v>
      </c>
      <c r="I4">
        <v>1000000</v>
      </c>
      <c r="J4">
        <v>0</v>
      </c>
      <c r="K4">
        <v>5000000</v>
      </c>
      <c r="L4">
        <v>2000000</v>
      </c>
      <c r="M4">
        <v>0</v>
      </c>
      <c r="N4">
        <v>0</v>
      </c>
      <c r="O4">
        <v>6002000</v>
      </c>
      <c r="P4">
        <v>3001000</v>
      </c>
      <c r="Q4">
        <v>0</v>
      </c>
      <c r="R4">
        <v>1</v>
      </c>
      <c r="S4">
        <v>0</v>
      </c>
      <c r="T4">
        <v>0</v>
      </c>
      <c r="U4">
        <v>2000000</v>
      </c>
      <c r="V4">
        <v>4003000</v>
      </c>
      <c r="W4">
        <v>0</v>
      </c>
      <c r="X4" s="1">
        <v>6002000</v>
      </c>
      <c r="Y4" s="1">
        <v>3001000</v>
      </c>
      <c r="Z4" s="1">
        <v>34009000</v>
      </c>
      <c r="AA4" s="1">
        <v>19004000</v>
      </c>
      <c r="AB4" s="1">
        <v>18004000</v>
      </c>
      <c r="AC4" s="1">
        <f t="shared" si="0"/>
        <v>-0.16982626902835155</v>
      </c>
      <c r="AD4" s="25"/>
      <c r="AE4" s="8">
        <v>1.6081566964060433E-4</v>
      </c>
      <c r="AF4" s="26"/>
      <c r="AG4" s="9">
        <f t="shared" ref="AG4:AG38" si="4">X4*AD4</f>
        <v>0</v>
      </c>
      <c r="AH4" s="9">
        <f t="shared" si="1"/>
        <v>0</v>
      </c>
      <c r="AI4" s="9">
        <f t="shared" si="2"/>
        <v>-9003000</v>
      </c>
      <c r="AJ4" s="9">
        <v>8</v>
      </c>
      <c r="AK4" s="9">
        <v>24</v>
      </c>
      <c r="AL4" s="9">
        <v>1</v>
      </c>
      <c r="AM4" s="7"/>
      <c r="AN4" s="2" t="e">
        <f t="shared" si="3"/>
        <v>#VALUE!</v>
      </c>
      <c r="AO4" s="3" t="e">
        <f t="shared" ref="AO4:AO38" si="5">AM4-AN4</f>
        <v>#VALUE!</v>
      </c>
      <c r="AP4" s="10" t="e">
        <f t="shared" ref="AP4:AP38" si="6">AO4/AM4 * 100</f>
        <v>#VALUE!</v>
      </c>
    </row>
    <row r="5" spans="1:42" x14ac:dyDescent="0.4">
      <c r="A5" s="1" t="s">
        <v>20</v>
      </c>
      <c r="B5">
        <v>4000</v>
      </c>
      <c r="C5">
        <v>4000</v>
      </c>
      <c r="D5">
        <v>0</v>
      </c>
      <c r="E5">
        <v>20000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10000</v>
      </c>
      <c r="O5">
        <v>30000</v>
      </c>
      <c r="P5">
        <v>16002</v>
      </c>
      <c r="Q5">
        <v>0</v>
      </c>
      <c r="R5">
        <v>10001</v>
      </c>
      <c r="S5">
        <v>2000</v>
      </c>
      <c r="T5">
        <v>0</v>
      </c>
      <c r="U5">
        <v>0</v>
      </c>
      <c r="V5">
        <v>28000</v>
      </c>
      <c r="W5">
        <v>4000</v>
      </c>
      <c r="X5" s="1">
        <v>40000</v>
      </c>
      <c r="Y5" s="1">
        <v>12002</v>
      </c>
      <c r="Z5" s="1">
        <v>134000</v>
      </c>
      <c r="AA5" s="1">
        <v>78000</v>
      </c>
      <c r="AB5" s="1">
        <v>56000</v>
      </c>
      <c r="AC5" s="1">
        <f t="shared" si="0"/>
        <v>-0.24529245283018869</v>
      </c>
      <c r="AD5" s="25"/>
      <c r="AE5" s="8">
        <v>6.8397845201629507E-4</v>
      </c>
      <c r="AF5" s="26"/>
      <c r="AG5" s="9">
        <f t="shared" si="4"/>
        <v>0</v>
      </c>
      <c r="AH5" s="9">
        <f t="shared" si="1"/>
        <v>0</v>
      </c>
      <c r="AI5" s="9">
        <f t="shared" si="2"/>
        <v>-52002</v>
      </c>
      <c r="AJ5" s="9">
        <v>13</v>
      </c>
      <c r="AK5" s="9">
        <v>42</v>
      </c>
      <c r="AL5" s="9">
        <v>1</v>
      </c>
      <c r="AM5" s="7"/>
      <c r="AN5" s="2" t="e">
        <f t="shared" si="3"/>
        <v>#VALUE!</v>
      </c>
      <c r="AO5" s="3" t="e">
        <f t="shared" si="5"/>
        <v>#VALUE!</v>
      </c>
      <c r="AP5" s="10" t="e">
        <f t="shared" si="6"/>
        <v>#VALUE!</v>
      </c>
    </row>
    <row r="6" spans="1:42" x14ac:dyDescent="0.4">
      <c r="A6" s="1" t="s">
        <v>54</v>
      </c>
      <c r="B6">
        <v>0</v>
      </c>
      <c r="C6">
        <v>0</v>
      </c>
      <c r="D6">
        <v>0</v>
      </c>
      <c r="E6">
        <v>3041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3000</v>
      </c>
      <c r="O6">
        <v>8051</v>
      </c>
      <c r="P6">
        <v>6042</v>
      </c>
      <c r="Q6">
        <v>0</v>
      </c>
      <c r="R6">
        <v>2001</v>
      </c>
      <c r="S6">
        <v>0</v>
      </c>
      <c r="T6">
        <v>0</v>
      </c>
      <c r="U6">
        <v>0</v>
      </c>
      <c r="V6">
        <v>3052</v>
      </c>
      <c r="W6">
        <v>0</v>
      </c>
      <c r="X6" s="1">
        <v>11051</v>
      </c>
      <c r="Y6" s="1">
        <v>5041</v>
      </c>
      <c r="Z6" s="1">
        <v>25205</v>
      </c>
      <c r="AA6" s="1">
        <v>15092</v>
      </c>
      <c r="AB6" s="1">
        <v>11092</v>
      </c>
      <c r="AC6" s="1">
        <f t="shared" si="0"/>
        <v>-0.39933493808472093</v>
      </c>
      <c r="AD6" s="25"/>
      <c r="AE6" s="8">
        <v>1.2209195850036192E-5</v>
      </c>
      <c r="AF6" s="26"/>
      <c r="AG6" s="9">
        <f t="shared" si="4"/>
        <v>0</v>
      </c>
      <c r="AH6" s="9">
        <f t="shared" si="1"/>
        <v>0</v>
      </c>
      <c r="AI6" s="9">
        <f t="shared" si="2"/>
        <v>-16092</v>
      </c>
      <c r="AJ6" s="9">
        <v>15</v>
      </c>
      <c r="AK6" s="9">
        <v>24</v>
      </c>
      <c r="AL6" s="9">
        <v>1</v>
      </c>
      <c r="AM6" s="7"/>
      <c r="AN6" s="2" t="e">
        <f t="shared" si="3"/>
        <v>#VALUE!</v>
      </c>
      <c r="AO6" s="3" t="e">
        <f t="shared" si="5"/>
        <v>#VALUE!</v>
      </c>
      <c r="AP6" s="10" t="e">
        <f t="shared" si="6"/>
        <v>#VALUE!</v>
      </c>
    </row>
    <row r="7" spans="1:42" x14ac:dyDescent="0.4">
      <c r="A7" s="1" t="s">
        <v>25</v>
      </c>
      <c r="B7">
        <v>0</v>
      </c>
      <c r="C7">
        <v>0</v>
      </c>
      <c r="D7">
        <v>0</v>
      </c>
      <c r="E7">
        <v>3031</v>
      </c>
      <c r="F7">
        <v>0</v>
      </c>
      <c r="G7">
        <v>0</v>
      </c>
      <c r="H7">
        <v>0</v>
      </c>
      <c r="I7">
        <v>0</v>
      </c>
      <c r="J7">
        <v>0</v>
      </c>
      <c r="K7">
        <v>2000</v>
      </c>
      <c r="L7">
        <v>1000</v>
      </c>
      <c r="M7">
        <v>0</v>
      </c>
      <c r="N7">
        <v>3000</v>
      </c>
      <c r="O7">
        <v>9031</v>
      </c>
      <c r="P7">
        <v>6042</v>
      </c>
      <c r="Q7">
        <v>0</v>
      </c>
      <c r="R7">
        <v>2001</v>
      </c>
      <c r="S7">
        <v>0</v>
      </c>
      <c r="T7">
        <v>1000</v>
      </c>
      <c r="U7">
        <v>0</v>
      </c>
      <c r="V7">
        <v>3052</v>
      </c>
      <c r="W7">
        <v>0</v>
      </c>
      <c r="X7" s="1">
        <v>12031</v>
      </c>
      <c r="Y7" s="1">
        <v>5041</v>
      </c>
      <c r="Z7" s="1">
        <v>33145</v>
      </c>
      <c r="AA7" s="1">
        <v>21062</v>
      </c>
      <c r="AB7" s="1">
        <v>16062</v>
      </c>
      <c r="AC7" s="1">
        <f t="shared" si="0"/>
        <v>-0.31494087479476818</v>
      </c>
      <c r="AD7" s="25"/>
      <c r="AE7" s="8">
        <v>6.1835775053681612E-4</v>
      </c>
      <c r="AF7" s="26"/>
      <c r="AG7" s="9">
        <f t="shared" si="4"/>
        <v>0</v>
      </c>
      <c r="AH7" s="9">
        <f t="shared" si="1"/>
        <v>0</v>
      </c>
      <c r="AI7" s="9">
        <f t="shared" si="2"/>
        <v>-17072</v>
      </c>
      <c r="AJ7" s="9">
        <v>14</v>
      </c>
      <c r="AK7" s="9">
        <v>27</v>
      </c>
      <c r="AL7" s="9">
        <v>1</v>
      </c>
      <c r="AM7" s="7"/>
      <c r="AN7" s="2" t="e">
        <f t="shared" si="3"/>
        <v>#VALUE!</v>
      </c>
      <c r="AO7" s="3" t="e">
        <f t="shared" si="5"/>
        <v>#VALUE!</v>
      </c>
      <c r="AP7" s="10" t="e">
        <f t="shared" si="6"/>
        <v>#VALUE!</v>
      </c>
    </row>
    <row r="8" spans="1:42" x14ac:dyDescent="0.4">
      <c r="A8" s="1" t="s">
        <v>28</v>
      </c>
      <c r="B8">
        <v>0</v>
      </c>
      <c r="C8">
        <v>0</v>
      </c>
      <c r="D8">
        <v>0</v>
      </c>
      <c r="E8">
        <v>2000</v>
      </c>
      <c r="F8">
        <v>0</v>
      </c>
      <c r="G8">
        <v>0</v>
      </c>
      <c r="H8">
        <v>1000</v>
      </c>
      <c r="I8">
        <v>0</v>
      </c>
      <c r="J8">
        <v>0</v>
      </c>
      <c r="K8">
        <v>3001</v>
      </c>
      <c r="L8">
        <v>0</v>
      </c>
      <c r="M8">
        <v>1000</v>
      </c>
      <c r="N8">
        <v>1000</v>
      </c>
      <c r="O8">
        <v>5001</v>
      </c>
      <c r="P8">
        <v>3002</v>
      </c>
      <c r="Q8">
        <v>0</v>
      </c>
      <c r="R8">
        <v>1</v>
      </c>
      <c r="S8">
        <v>0</v>
      </c>
      <c r="T8">
        <v>0</v>
      </c>
      <c r="U8">
        <v>1000</v>
      </c>
      <c r="V8">
        <v>3001</v>
      </c>
      <c r="W8">
        <v>0</v>
      </c>
      <c r="X8" s="1">
        <v>6001</v>
      </c>
      <c r="Y8" s="1">
        <v>3002</v>
      </c>
      <c r="Z8" s="1">
        <v>24006</v>
      </c>
      <c r="AA8" s="1">
        <v>14003</v>
      </c>
      <c r="AB8" s="1">
        <v>12003</v>
      </c>
      <c r="AC8" s="1">
        <f t="shared" si="0"/>
        <v>-0.23686495303743851</v>
      </c>
      <c r="AD8" s="25"/>
      <c r="AE8" s="8">
        <v>1.4871615644441864E-3</v>
      </c>
      <c r="AF8" s="26"/>
      <c r="AG8" s="9">
        <f t="shared" si="4"/>
        <v>0</v>
      </c>
      <c r="AH8" s="9">
        <f t="shared" si="1"/>
        <v>0</v>
      </c>
      <c r="AI8" s="9">
        <f t="shared" si="2"/>
        <v>-9003</v>
      </c>
      <c r="AJ8" s="9">
        <v>9</v>
      </c>
      <c r="AK8" s="9">
        <v>18</v>
      </c>
      <c r="AL8" s="9">
        <v>1</v>
      </c>
      <c r="AM8" s="7"/>
      <c r="AN8" s="2" t="e">
        <f t="shared" si="3"/>
        <v>#VALUE!</v>
      </c>
      <c r="AO8" s="3" t="e">
        <f t="shared" si="5"/>
        <v>#VALUE!</v>
      </c>
      <c r="AP8" s="10" t="e">
        <f t="shared" si="6"/>
        <v>#VALUE!</v>
      </c>
    </row>
    <row r="9" spans="1:42" x14ac:dyDescent="0.4">
      <c r="A9" s="1" t="s">
        <v>55</v>
      </c>
      <c r="B9">
        <v>0</v>
      </c>
      <c r="C9">
        <v>0</v>
      </c>
      <c r="D9">
        <v>0</v>
      </c>
      <c r="E9">
        <v>2000</v>
      </c>
      <c r="F9">
        <v>0</v>
      </c>
      <c r="G9">
        <v>0</v>
      </c>
      <c r="H9">
        <v>1000</v>
      </c>
      <c r="I9">
        <v>0</v>
      </c>
      <c r="J9">
        <v>0</v>
      </c>
      <c r="K9">
        <v>8000</v>
      </c>
      <c r="L9">
        <v>0</v>
      </c>
      <c r="M9">
        <v>0</v>
      </c>
      <c r="N9">
        <v>5000</v>
      </c>
      <c r="O9">
        <v>11000</v>
      </c>
      <c r="P9">
        <v>9007</v>
      </c>
      <c r="Q9">
        <v>0</v>
      </c>
      <c r="R9">
        <v>1</v>
      </c>
      <c r="S9">
        <v>0</v>
      </c>
      <c r="T9">
        <v>0</v>
      </c>
      <c r="U9">
        <v>8000</v>
      </c>
      <c r="V9">
        <v>3000</v>
      </c>
      <c r="W9">
        <v>0</v>
      </c>
      <c r="X9" s="1">
        <v>16000</v>
      </c>
      <c r="Y9" s="1">
        <v>9007</v>
      </c>
      <c r="Z9" s="1">
        <v>56000</v>
      </c>
      <c r="AA9" s="1">
        <v>35000</v>
      </c>
      <c r="AB9" s="1">
        <v>2902</v>
      </c>
      <c r="AC9" s="1">
        <f t="shared" si="0"/>
        <v>-0.27480219780219778</v>
      </c>
      <c r="AD9" s="25"/>
      <c r="AE9" s="8">
        <v>-1.9173927548971276E-5</v>
      </c>
      <c r="AF9" s="26"/>
      <c r="AG9" s="9">
        <f t="shared" si="4"/>
        <v>0</v>
      </c>
      <c r="AH9" s="9">
        <f t="shared" si="1"/>
        <v>0</v>
      </c>
      <c r="AI9" s="9">
        <f t="shared" si="2"/>
        <v>-25006.999999999996</v>
      </c>
      <c r="AJ9" s="9">
        <v>30</v>
      </c>
      <c r="AK9" s="9">
        <v>36</v>
      </c>
      <c r="AL9" s="9">
        <v>1</v>
      </c>
      <c r="AM9" s="7"/>
      <c r="AN9" s="2" t="e">
        <f t="shared" si="3"/>
        <v>#VALUE!</v>
      </c>
      <c r="AO9" s="3" t="e">
        <f t="shared" si="5"/>
        <v>#VALUE!</v>
      </c>
      <c r="AP9" s="10" t="e">
        <f t="shared" si="6"/>
        <v>#VALUE!</v>
      </c>
    </row>
    <row r="10" spans="1:42" x14ac:dyDescent="0.4">
      <c r="A10" s="1" t="s">
        <v>31</v>
      </c>
      <c r="B10">
        <v>5160</v>
      </c>
      <c r="C10">
        <v>0</v>
      </c>
      <c r="D10">
        <v>0</v>
      </c>
      <c r="E10">
        <v>7741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15481</v>
      </c>
      <c r="P10">
        <v>10322</v>
      </c>
      <c r="Q10">
        <v>0</v>
      </c>
      <c r="R10">
        <v>7741</v>
      </c>
      <c r="S10">
        <v>2581</v>
      </c>
      <c r="T10">
        <v>0</v>
      </c>
      <c r="U10">
        <v>0</v>
      </c>
      <c r="V10">
        <v>10321</v>
      </c>
      <c r="W10">
        <v>0</v>
      </c>
      <c r="X10" s="1">
        <v>15481</v>
      </c>
      <c r="Y10" s="1">
        <v>5161</v>
      </c>
      <c r="Z10" s="1">
        <v>54187</v>
      </c>
      <c r="AA10" s="1">
        <v>33543</v>
      </c>
      <c r="AB10" s="1">
        <v>25803</v>
      </c>
      <c r="AC10" s="1">
        <f t="shared" si="0"/>
        <v>-0.23529009460845776</v>
      </c>
      <c r="AD10" s="25"/>
      <c r="AE10" s="8">
        <v>5.4073514599848943E-4</v>
      </c>
      <c r="AF10" s="26"/>
      <c r="AG10" s="9">
        <f t="shared" si="4"/>
        <v>0</v>
      </c>
      <c r="AH10" s="9">
        <f t="shared" si="1"/>
        <v>0</v>
      </c>
      <c r="AI10" s="9">
        <f t="shared" si="2"/>
        <v>-20642</v>
      </c>
      <c r="AJ10" s="9">
        <v>5</v>
      </c>
      <c r="AK10" s="9">
        <v>21</v>
      </c>
      <c r="AL10" s="9">
        <v>1</v>
      </c>
      <c r="AM10" s="7"/>
      <c r="AN10" s="2" t="e">
        <f t="shared" si="3"/>
        <v>#VALUE!</v>
      </c>
      <c r="AO10" s="3" t="e">
        <f t="shared" si="5"/>
        <v>#VALUE!</v>
      </c>
      <c r="AP10" s="10" t="e">
        <f t="shared" si="6"/>
        <v>#VALUE!</v>
      </c>
    </row>
    <row r="11" spans="1:42" x14ac:dyDescent="0.4">
      <c r="A11" s="1" t="s">
        <v>33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5160</v>
      </c>
      <c r="I11">
        <v>0</v>
      </c>
      <c r="J11">
        <v>0</v>
      </c>
      <c r="K11">
        <v>7741</v>
      </c>
      <c r="L11">
        <v>0</v>
      </c>
      <c r="M11">
        <v>0</v>
      </c>
      <c r="N11">
        <v>0</v>
      </c>
      <c r="O11">
        <v>15481</v>
      </c>
      <c r="P11">
        <v>10322</v>
      </c>
      <c r="Q11">
        <v>0</v>
      </c>
      <c r="R11">
        <v>7741</v>
      </c>
      <c r="S11">
        <v>2581</v>
      </c>
      <c r="T11">
        <v>0</v>
      </c>
      <c r="U11">
        <v>0</v>
      </c>
      <c r="V11">
        <v>10321</v>
      </c>
      <c r="W11">
        <v>0</v>
      </c>
      <c r="X11" s="1">
        <v>15481</v>
      </c>
      <c r="Y11" s="1">
        <v>5161</v>
      </c>
      <c r="Z11" s="1">
        <v>54187</v>
      </c>
      <c r="AA11" s="1">
        <v>33543</v>
      </c>
      <c r="AB11" s="1">
        <v>25803</v>
      </c>
      <c r="AC11" s="1">
        <f t="shared" si="0"/>
        <v>-0.23529009460845776</v>
      </c>
      <c r="AD11" s="25"/>
      <c r="AE11" s="8">
        <v>4.2043611048700013E-4</v>
      </c>
      <c r="AF11" s="26"/>
      <c r="AG11" s="9">
        <f t="shared" si="4"/>
        <v>0</v>
      </c>
      <c r="AH11" s="9">
        <f t="shared" si="1"/>
        <v>0</v>
      </c>
      <c r="AI11" s="9">
        <f t="shared" si="2"/>
        <v>-20642</v>
      </c>
      <c r="AJ11" s="9">
        <v>5</v>
      </c>
      <c r="AK11" s="9">
        <v>21</v>
      </c>
      <c r="AL11" s="9">
        <v>1</v>
      </c>
      <c r="AM11" s="7"/>
      <c r="AN11" s="2" t="e">
        <f t="shared" si="3"/>
        <v>#VALUE!</v>
      </c>
      <c r="AO11" s="3" t="e">
        <f t="shared" si="5"/>
        <v>#VALUE!</v>
      </c>
      <c r="AP11" s="10" t="e">
        <f t="shared" si="6"/>
        <v>#VALUE!</v>
      </c>
    </row>
    <row r="12" spans="1:42" x14ac:dyDescent="0.4">
      <c r="A12" s="1" t="s">
        <v>56</v>
      </c>
      <c r="B12">
        <v>0</v>
      </c>
      <c r="C12">
        <v>0</v>
      </c>
      <c r="D12">
        <v>0</v>
      </c>
      <c r="E12">
        <v>2000</v>
      </c>
      <c r="F12">
        <v>0</v>
      </c>
      <c r="G12">
        <v>0</v>
      </c>
      <c r="H12">
        <v>1000</v>
      </c>
      <c r="I12">
        <v>0</v>
      </c>
      <c r="J12">
        <v>0</v>
      </c>
      <c r="K12">
        <v>2001</v>
      </c>
      <c r="L12">
        <v>1000</v>
      </c>
      <c r="M12">
        <v>1000</v>
      </c>
      <c r="N12">
        <v>1000</v>
      </c>
      <c r="O12">
        <v>5001</v>
      </c>
      <c r="P12">
        <v>3002</v>
      </c>
      <c r="Q12">
        <v>0</v>
      </c>
      <c r="R12">
        <v>1</v>
      </c>
      <c r="S12">
        <v>0</v>
      </c>
      <c r="T12">
        <v>0</v>
      </c>
      <c r="U12">
        <v>1000</v>
      </c>
      <c r="V12">
        <v>3001</v>
      </c>
      <c r="W12">
        <v>0</v>
      </c>
      <c r="X12" s="1">
        <v>6001</v>
      </c>
      <c r="Y12" s="1">
        <v>3002</v>
      </c>
      <c r="Z12" s="1">
        <v>24006</v>
      </c>
      <c r="AA12" s="1">
        <v>14003</v>
      </c>
      <c r="AB12" s="1">
        <v>12003</v>
      </c>
      <c r="AC12" s="1">
        <f t="shared" si="0"/>
        <v>-0.23686495303743851</v>
      </c>
      <c r="AD12" s="25"/>
      <c r="AE12" s="8">
        <v>1.3271844616104232E-3</v>
      </c>
      <c r="AF12" s="26"/>
      <c r="AG12" s="9">
        <f t="shared" si="4"/>
        <v>0</v>
      </c>
      <c r="AH12" s="9">
        <f t="shared" si="1"/>
        <v>0</v>
      </c>
      <c r="AI12" s="9">
        <f t="shared" si="2"/>
        <v>-9003</v>
      </c>
      <c r="AJ12" s="9">
        <v>9</v>
      </c>
      <c r="AK12" s="9">
        <v>18</v>
      </c>
      <c r="AL12" s="9">
        <v>1</v>
      </c>
      <c r="AM12" s="7"/>
      <c r="AN12" s="2" t="e">
        <f t="shared" si="3"/>
        <v>#VALUE!</v>
      </c>
      <c r="AO12" s="3" t="e">
        <f t="shared" si="5"/>
        <v>#VALUE!</v>
      </c>
      <c r="AP12" s="10" t="e">
        <f t="shared" si="6"/>
        <v>#VALUE!</v>
      </c>
    </row>
    <row r="13" spans="1:42" x14ac:dyDescent="0.4">
      <c r="A13" s="1" t="s">
        <v>15</v>
      </c>
      <c r="B13">
        <v>105</v>
      </c>
      <c r="C13">
        <v>0</v>
      </c>
      <c r="D13">
        <v>0</v>
      </c>
      <c r="E13">
        <v>631</v>
      </c>
      <c r="F13">
        <v>0</v>
      </c>
      <c r="G13">
        <v>0</v>
      </c>
      <c r="H13">
        <v>0</v>
      </c>
      <c r="I13">
        <v>100</v>
      </c>
      <c r="J13">
        <v>100</v>
      </c>
      <c r="K13">
        <v>110</v>
      </c>
      <c r="L13">
        <v>0</v>
      </c>
      <c r="M13">
        <v>0</v>
      </c>
      <c r="N13">
        <v>280</v>
      </c>
      <c r="O13">
        <v>1066</v>
      </c>
      <c r="P13">
        <v>567</v>
      </c>
      <c r="Q13">
        <v>0</v>
      </c>
      <c r="R13">
        <v>336</v>
      </c>
      <c r="S13">
        <v>105</v>
      </c>
      <c r="T13">
        <v>10</v>
      </c>
      <c r="U13">
        <v>110</v>
      </c>
      <c r="V13">
        <v>742</v>
      </c>
      <c r="W13">
        <v>0</v>
      </c>
      <c r="X13" s="1">
        <v>1346</v>
      </c>
      <c r="Y13" s="1">
        <v>451</v>
      </c>
      <c r="Z13" s="1">
        <v>4735</v>
      </c>
      <c r="AA13" s="1">
        <v>2732</v>
      </c>
      <c r="AB13" s="1">
        <v>2022</v>
      </c>
      <c r="AC13" s="1">
        <f t="shared" si="0"/>
        <v>-0.24065889915628766</v>
      </c>
      <c r="AD13" s="25"/>
      <c r="AE13" s="8">
        <v>1.7458187848434596E-3</v>
      </c>
      <c r="AF13" s="26"/>
      <c r="AG13" s="9">
        <f t="shared" si="4"/>
        <v>0</v>
      </c>
      <c r="AH13" s="9">
        <f t="shared" si="1"/>
        <v>0</v>
      </c>
      <c r="AI13" s="9">
        <f t="shared" si="2"/>
        <v>-1797</v>
      </c>
      <c r="AJ13" s="9">
        <v>24</v>
      </c>
      <c r="AK13" s="9">
        <v>64</v>
      </c>
      <c r="AL13" s="9">
        <v>1</v>
      </c>
      <c r="AM13" s="7"/>
      <c r="AN13" s="2" t="e">
        <f t="shared" si="3"/>
        <v>#VALUE!</v>
      </c>
      <c r="AO13" s="3" t="e">
        <f t="shared" si="5"/>
        <v>#VALUE!</v>
      </c>
      <c r="AP13" s="10" t="e">
        <f t="shared" si="6"/>
        <v>#VALUE!</v>
      </c>
    </row>
    <row r="14" spans="1:42" x14ac:dyDescent="0.4">
      <c r="A14" s="1" t="s">
        <v>18</v>
      </c>
      <c r="B14">
        <v>0</v>
      </c>
      <c r="C14">
        <v>0</v>
      </c>
      <c r="D14">
        <v>0</v>
      </c>
      <c r="E14">
        <v>1109</v>
      </c>
      <c r="F14">
        <v>0</v>
      </c>
      <c r="G14">
        <v>0</v>
      </c>
      <c r="H14">
        <v>375</v>
      </c>
      <c r="I14">
        <v>0</v>
      </c>
      <c r="J14">
        <v>55</v>
      </c>
      <c r="K14">
        <v>144</v>
      </c>
      <c r="L14">
        <v>375</v>
      </c>
      <c r="M14">
        <v>0</v>
      </c>
      <c r="N14">
        <v>967</v>
      </c>
      <c r="O14">
        <v>5158</v>
      </c>
      <c r="P14">
        <v>1390</v>
      </c>
      <c r="Q14">
        <v>0</v>
      </c>
      <c r="R14">
        <v>119</v>
      </c>
      <c r="S14">
        <v>28</v>
      </c>
      <c r="T14">
        <v>0</v>
      </c>
      <c r="U14">
        <v>3289</v>
      </c>
      <c r="V14">
        <v>3107</v>
      </c>
      <c r="W14">
        <v>1989</v>
      </c>
      <c r="X14" s="1">
        <v>6125</v>
      </c>
      <c r="Y14" s="1">
        <v>1316</v>
      </c>
      <c r="Z14" s="1">
        <v>26090</v>
      </c>
      <c r="AA14" s="1">
        <v>14834</v>
      </c>
      <c r="AB14" s="1">
        <v>12092</v>
      </c>
      <c r="AC14" s="1">
        <f t="shared" si="0"/>
        <v>-0.18182484605610399</v>
      </c>
      <c r="AD14" s="25"/>
      <c r="AE14" s="8">
        <v>1.1486973151528698E-4</v>
      </c>
      <c r="AF14" s="26"/>
      <c r="AG14" s="9">
        <f t="shared" si="4"/>
        <v>0</v>
      </c>
      <c r="AH14" s="9">
        <f t="shared" si="1"/>
        <v>0</v>
      </c>
      <c r="AI14" s="9">
        <f t="shared" si="2"/>
        <v>-7441</v>
      </c>
      <c r="AJ14" s="9">
        <v>68</v>
      </c>
      <c r="AK14" s="9">
        <v>278</v>
      </c>
      <c r="AL14" s="9">
        <v>1</v>
      </c>
      <c r="AM14" s="7"/>
      <c r="AN14" s="2" t="e">
        <f t="shared" si="3"/>
        <v>#VALUE!</v>
      </c>
      <c r="AO14" s="3" t="e">
        <f t="shared" si="5"/>
        <v>#VALUE!</v>
      </c>
      <c r="AP14" s="10" t="e">
        <f t="shared" si="6"/>
        <v>#VALUE!</v>
      </c>
    </row>
    <row r="15" spans="1:42" x14ac:dyDescent="0.4">
      <c r="A15" s="1" t="s">
        <v>21</v>
      </c>
      <c r="B15">
        <v>1400</v>
      </c>
      <c r="C15">
        <v>0</v>
      </c>
      <c r="D15">
        <v>0</v>
      </c>
      <c r="E15">
        <v>2401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4300</v>
      </c>
      <c r="O15">
        <v>3801</v>
      </c>
      <c r="P15">
        <v>2302</v>
      </c>
      <c r="Q15">
        <v>0</v>
      </c>
      <c r="R15">
        <v>2201</v>
      </c>
      <c r="S15">
        <v>0</v>
      </c>
      <c r="T15">
        <v>0</v>
      </c>
      <c r="U15">
        <v>0</v>
      </c>
      <c r="V15">
        <v>4002</v>
      </c>
      <c r="W15">
        <v>0</v>
      </c>
      <c r="X15" s="1">
        <v>8101</v>
      </c>
      <c r="Y15" s="1">
        <v>801</v>
      </c>
      <c r="Z15" s="1">
        <v>19705</v>
      </c>
      <c r="AA15" s="1">
        <v>13402</v>
      </c>
      <c r="AB15" s="1">
        <v>6202</v>
      </c>
      <c r="AC15" s="1">
        <f t="shared" si="0"/>
        <v>-0.26888573413477512</v>
      </c>
      <c r="AD15" s="25"/>
      <c r="AE15" s="8">
        <v>2.9955468772800432E-4</v>
      </c>
      <c r="AF15" s="26"/>
      <c r="AG15" s="9">
        <f t="shared" si="4"/>
        <v>0</v>
      </c>
      <c r="AH15" s="9">
        <f t="shared" si="1"/>
        <v>0</v>
      </c>
      <c r="AI15" s="9">
        <f t="shared" si="2"/>
        <v>-8902</v>
      </c>
      <c r="AJ15" s="9">
        <v>11</v>
      </c>
      <c r="AK15" s="9">
        <v>30</v>
      </c>
      <c r="AL15" s="9">
        <v>1</v>
      </c>
      <c r="AM15" s="7"/>
      <c r="AN15" s="2" t="e">
        <f t="shared" si="3"/>
        <v>#VALUE!</v>
      </c>
      <c r="AO15" s="3" t="e">
        <f t="shared" si="5"/>
        <v>#VALUE!</v>
      </c>
      <c r="AP15" s="10" t="e">
        <f t="shared" si="6"/>
        <v>#VALUE!</v>
      </c>
    </row>
    <row r="16" spans="1:42" x14ac:dyDescent="0.4">
      <c r="A16" s="1" t="s">
        <v>23</v>
      </c>
      <c r="B16">
        <v>99</v>
      </c>
      <c r="C16">
        <v>0</v>
      </c>
      <c r="D16">
        <v>0</v>
      </c>
      <c r="E16">
        <v>6140</v>
      </c>
      <c r="F16">
        <v>0</v>
      </c>
      <c r="G16">
        <v>99</v>
      </c>
      <c r="H16">
        <v>0</v>
      </c>
      <c r="I16">
        <v>300</v>
      </c>
      <c r="J16">
        <v>0</v>
      </c>
      <c r="K16">
        <v>200</v>
      </c>
      <c r="L16">
        <v>100</v>
      </c>
      <c r="M16">
        <v>100</v>
      </c>
      <c r="N16">
        <v>7008</v>
      </c>
      <c r="O16">
        <v>10036</v>
      </c>
      <c r="P16">
        <v>4455</v>
      </c>
      <c r="Q16">
        <v>0</v>
      </c>
      <c r="R16">
        <v>499</v>
      </c>
      <c r="S16">
        <v>0</v>
      </c>
      <c r="T16">
        <v>100</v>
      </c>
      <c r="U16">
        <v>4072</v>
      </c>
      <c r="V16">
        <v>8699</v>
      </c>
      <c r="W16">
        <v>3772</v>
      </c>
      <c r="X16" s="1">
        <v>17044</v>
      </c>
      <c r="Y16" s="1">
        <v>4155</v>
      </c>
      <c r="Z16" s="1">
        <v>57345</v>
      </c>
      <c r="AA16" s="1">
        <v>32326</v>
      </c>
      <c r="AB16" s="1">
        <v>24519</v>
      </c>
      <c r="AC16" s="1">
        <f t="shared" si="0"/>
        <v>-0.23640864939612583</v>
      </c>
      <c r="AD16" s="25"/>
      <c r="AE16" s="8">
        <v>2.1242101723507956E-3</v>
      </c>
      <c r="AF16" s="26"/>
      <c r="AG16" s="9">
        <f t="shared" si="4"/>
        <v>0</v>
      </c>
      <c r="AH16" s="9">
        <f t="shared" si="1"/>
        <v>0</v>
      </c>
      <c r="AI16" s="9">
        <f t="shared" si="2"/>
        <v>-21199</v>
      </c>
      <c r="AJ16" s="9">
        <v>51</v>
      </c>
      <c r="AK16" s="9">
        <v>144</v>
      </c>
      <c r="AL16" s="9">
        <v>1</v>
      </c>
      <c r="AM16" s="7"/>
      <c r="AN16" s="2" t="e">
        <f t="shared" si="3"/>
        <v>#VALUE!</v>
      </c>
      <c r="AO16" s="3" t="e">
        <f t="shared" si="5"/>
        <v>#VALUE!</v>
      </c>
      <c r="AP16" s="10" t="e">
        <f t="shared" si="6"/>
        <v>#VALUE!</v>
      </c>
    </row>
    <row r="17" spans="1:42" x14ac:dyDescent="0.4">
      <c r="A17" s="1" t="s">
        <v>26</v>
      </c>
      <c r="B17">
        <v>0</v>
      </c>
      <c r="C17">
        <v>0</v>
      </c>
      <c r="D17">
        <v>0</v>
      </c>
      <c r="E17">
        <v>631</v>
      </c>
      <c r="F17">
        <v>300</v>
      </c>
      <c r="G17">
        <v>0</v>
      </c>
      <c r="H17">
        <v>0</v>
      </c>
      <c r="I17">
        <v>0</v>
      </c>
      <c r="J17">
        <v>300</v>
      </c>
      <c r="K17">
        <v>310</v>
      </c>
      <c r="L17">
        <v>0</v>
      </c>
      <c r="M17">
        <v>0</v>
      </c>
      <c r="N17">
        <v>610</v>
      </c>
      <c r="O17">
        <v>1541</v>
      </c>
      <c r="P17">
        <v>952</v>
      </c>
      <c r="Q17">
        <v>0</v>
      </c>
      <c r="R17">
        <v>1</v>
      </c>
      <c r="S17">
        <v>0</v>
      </c>
      <c r="T17">
        <v>0</v>
      </c>
      <c r="U17">
        <v>300</v>
      </c>
      <c r="V17">
        <v>962</v>
      </c>
      <c r="W17">
        <v>0</v>
      </c>
      <c r="X17" s="1">
        <v>2151</v>
      </c>
      <c r="Y17" s="1">
        <v>951</v>
      </c>
      <c r="Z17" s="1">
        <v>7105</v>
      </c>
      <c r="AA17" s="1">
        <v>3992</v>
      </c>
      <c r="AB17" s="1">
        <v>3082</v>
      </c>
      <c r="AC17" s="1">
        <f t="shared" si="0"/>
        <v>-0.27953500946201676</v>
      </c>
      <c r="AD17" s="25"/>
      <c r="AE17" s="8">
        <v>2.3185188715860575E-3</v>
      </c>
      <c r="AF17" s="26"/>
      <c r="AG17" s="9">
        <f t="shared" si="4"/>
        <v>0</v>
      </c>
      <c r="AH17" s="9">
        <f t="shared" si="1"/>
        <v>0</v>
      </c>
      <c r="AI17" s="9">
        <f t="shared" si="2"/>
        <v>-3102</v>
      </c>
      <c r="AJ17" s="9">
        <v>12</v>
      </c>
      <c r="AK17" s="9">
        <v>20</v>
      </c>
      <c r="AL17" s="9">
        <v>1</v>
      </c>
      <c r="AM17" s="7"/>
      <c r="AN17" s="2" t="e">
        <f t="shared" si="3"/>
        <v>#VALUE!</v>
      </c>
      <c r="AO17" s="3" t="e">
        <f t="shared" si="5"/>
        <v>#VALUE!</v>
      </c>
      <c r="AP17" s="10" t="e">
        <f t="shared" si="6"/>
        <v>#VALUE!</v>
      </c>
    </row>
    <row r="18" spans="1:42" x14ac:dyDescent="0.4">
      <c r="A18" s="1" t="s">
        <v>29</v>
      </c>
      <c r="B18">
        <v>70200</v>
      </c>
      <c r="C18">
        <v>296700</v>
      </c>
      <c r="D18">
        <v>0</v>
      </c>
      <c r="E18">
        <v>1982131</v>
      </c>
      <c r="F18">
        <v>389300</v>
      </c>
      <c r="G18">
        <v>170100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911500</v>
      </c>
      <c r="O18">
        <v>2385091</v>
      </c>
      <c r="P18">
        <v>1154762</v>
      </c>
      <c r="Q18">
        <v>0</v>
      </c>
      <c r="R18">
        <v>21052</v>
      </c>
      <c r="S18">
        <v>56700</v>
      </c>
      <c r="T18">
        <v>0</v>
      </c>
      <c r="U18">
        <v>537210</v>
      </c>
      <c r="V18">
        <v>2355401</v>
      </c>
      <c r="W18">
        <v>537210</v>
      </c>
      <c r="X18" s="1">
        <v>3296597</v>
      </c>
      <c r="Y18" s="1">
        <v>1139661</v>
      </c>
      <c r="Z18" s="1">
        <v>13824345</v>
      </c>
      <c r="AA18" s="1">
        <v>7342443</v>
      </c>
      <c r="AB18" s="1">
        <v>6057742</v>
      </c>
      <c r="AC18" s="1">
        <f t="shared" si="0"/>
        <v>-0.2095857907208217</v>
      </c>
      <c r="AD18" s="25"/>
      <c r="AE18" s="8">
        <v>2.0154840646775441E-4</v>
      </c>
      <c r="AF18" s="26"/>
      <c r="AG18" s="9">
        <f t="shared" si="4"/>
        <v>0</v>
      </c>
      <c r="AH18" s="9">
        <f t="shared" si="1"/>
        <v>0</v>
      </c>
      <c r="AI18" s="9">
        <f t="shared" si="2"/>
        <v>-4436258</v>
      </c>
      <c r="AJ18" s="9">
        <v>29</v>
      </c>
      <c r="AK18" s="9">
        <v>103</v>
      </c>
      <c r="AL18" s="9">
        <v>1</v>
      </c>
      <c r="AM18" s="7"/>
      <c r="AN18" s="2" t="e">
        <f t="shared" si="3"/>
        <v>#VALUE!</v>
      </c>
      <c r="AO18" s="3" t="e">
        <f t="shared" si="5"/>
        <v>#VALUE!</v>
      </c>
      <c r="AP18" s="10" t="e">
        <f t="shared" si="6"/>
        <v>#VALUE!</v>
      </c>
    </row>
    <row r="19" spans="1:42" x14ac:dyDescent="0.4">
      <c r="A19" s="1" t="s">
        <v>30</v>
      </c>
      <c r="B19">
        <v>0</v>
      </c>
      <c r="C19">
        <v>0</v>
      </c>
      <c r="D19">
        <v>0</v>
      </c>
      <c r="E19">
        <v>2002051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1004052</v>
      </c>
      <c r="O19">
        <v>1504054</v>
      </c>
      <c r="P19">
        <v>507058</v>
      </c>
      <c r="Q19">
        <v>0</v>
      </c>
      <c r="R19">
        <v>1</v>
      </c>
      <c r="S19">
        <v>0</v>
      </c>
      <c r="T19">
        <v>0</v>
      </c>
      <c r="U19">
        <v>3</v>
      </c>
      <c r="V19">
        <v>2004051</v>
      </c>
      <c r="W19">
        <v>3</v>
      </c>
      <c r="X19" s="1">
        <v>2508106</v>
      </c>
      <c r="Y19" s="1">
        <v>507056</v>
      </c>
      <c r="Z19" s="1">
        <v>9015273</v>
      </c>
      <c r="AA19" s="1">
        <v>4510163</v>
      </c>
      <c r="AB19" s="1">
        <v>3506111</v>
      </c>
      <c r="AC19" s="1">
        <f t="shared" si="0"/>
        <v>-0.22292530902515822</v>
      </c>
      <c r="AD19" s="25"/>
      <c r="AE19" s="8">
        <v>1.288306360560297E-4</v>
      </c>
      <c r="AF19" s="26"/>
      <c r="AG19" s="9">
        <f t="shared" si="4"/>
        <v>0</v>
      </c>
      <c r="AH19" s="9">
        <f t="shared" si="1"/>
        <v>0</v>
      </c>
      <c r="AI19" s="9">
        <f t="shared" si="2"/>
        <v>-3015162</v>
      </c>
      <c r="AJ19" s="9">
        <v>14</v>
      </c>
      <c r="AK19" s="9">
        <v>26</v>
      </c>
      <c r="AL19" s="9">
        <v>1</v>
      </c>
      <c r="AM19" s="7"/>
      <c r="AN19" s="2" t="e">
        <f t="shared" si="3"/>
        <v>#VALUE!</v>
      </c>
      <c r="AO19" s="3" t="e">
        <f t="shared" si="5"/>
        <v>#VALUE!</v>
      </c>
      <c r="AP19" s="10" t="e">
        <f t="shared" si="6"/>
        <v>#VALUE!</v>
      </c>
    </row>
    <row r="20" spans="1:42" x14ac:dyDescent="0.4">
      <c r="A20" s="1" t="s">
        <v>32</v>
      </c>
      <c r="B20">
        <v>0</v>
      </c>
      <c r="C20">
        <v>0</v>
      </c>
      <c r="D20">
        <v>0</v>
      </c>
      <c r="E20">
        <v>1995002</v>
      </c>
      <c r="F20">
        <v>0</v>
      </c>
      <c r="G20">
        <v>0</v>
      </c>
      <c r="H20">
        <v>0</v>
      </c>
      <c r="I20">
        <v>0</v>
      </c>
      <c r="J20">
        <v>0</v>
      </c>
      <c r="K20">
        <v>7049</v>
      </c>
      <c r="L20">
        <v>0</v>
      </c>
      <c r="M20">
        <v>0</v>
      </c>
      <c r="N20">
        <v>997000</v>
      </c>
      <c r="O20">
        <v>1511106</v>
      </c>
      <c r="P20">
        <v>507058</v>
      </c>
      <c r="Q20">
        <v>0</v>
      </c>
      <c r="R20">
        <v>1</v>
      </c>
      <c r="S20">
        <v>0</v>
      </c>
      <c r="T20">
        <v>7052</v>
      </c>
      <c r="U20">
        <v>3</v>
      </c>
      <c r="V20">
        <v>2004051</v>
      </c>
      <c r="W20">
        <v>3</v>
      </c>
      <c r="X20" s="1">
        <v>2508106</v>
      </c>
      <c r="Y20" s="1">
        <v>507056</v>
      </c>
      <c r="Z20" s="1">
        <v>9022325</v>
      </c>
      <c r="AA20" s="1">
        <v>4517215</v>
      </c>
      <c r="AB20" s="1">
        <v>3513163</v>
      </c>
      <c r="AC20" s="1">
        <f t="shared" si="0"/>
        <v>-0.2226930900163521</v>
      </c>
      <c r="AD20" s="25"/>
      <c r="AE20" s="8">
        <v>1.3996281538866093E-4</v>
      </c>
      <c r="AF20" s="26"/>
      <c r="AG20" s="9">
        <f t="shared" si="4"/>
        <v>0</v>
      </c>
      <c r="AH20" s="9">
        <f t="shared" si="1"/>
        <v>0</v>
      </c>
      <c r="AI20" s="9">
        <f t="shared" si="2"/>
        <v>-3015162</v>
      </c>
      <c r="AJ20" s="9">
        <v>14</v>
      </c>
      <c r="AK20" s="9">
        <v>29</v>
      </c>
      <c r="AL20" s="9">
        <v>1</v>
      </c>
      <c r="AM20" s="7"/>
      <c r="AN20" s="2" t="e">
        <f t="shared" si="3"/>
        <v>#VALUE!</v>
      </c>
      <c r="AO20" s="3" t="e">
        <f t="shared" si="5"/>
        <v>#VALUE!</v>
      </c>
      <c r="AP20" s="10" t="e">
        <f t="shared" si="6"/>
        <v>#VALUE!</v>
      </c>
    </row>
    <row r="21" spans="1:42" x14ac:dyDescent="0.4">
      <c r="A21" s="1" t="s">
        <v>34</v>
      </c>
      <c r="B21">
        <v>0</v>
      </c>
      <c r="C21">
        <v>0</v>
      </c>
      <c r="D21">
        <v>0</v>
      </c>
      <c r="E21">
        <v>315026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157098</v>
      </c>
      <c r="O21">
        <v>237026</v>
      </c>
      <c r="P21">
        <v>82759</v>
      </c>
      <c r="Q21">
        <v>0</v>
      </c>
      <c r="R21">
        <v>999</v>
      </c>
      <c r="S21">
        <v>998</v>
      </c>
      <c r="T21">
        <v>0</v>
      </c>
      <c r="U21">
        <v>0</v>
      </c>
      <c r="V21">
        <v>318853</v>
      </c>
      <c r="W21">
        <v>0</v>
      </c>
      <c r="X21" s="1">
        <v>394124</v>
      </c>
      <c r="Y21" s="1">
        <v>81758</v>
      </c>
      <c r="Z21" s="1">
        <v>1419300</v>
      </c>
      <c r="AA21" s="1">
        <v>710148</v>
      </c>
      <c r="AB21" s="1">
        <v>553050</v>
      </c>
      <c r="AC21" s="1">
        <f t="shared" si="0"/>
        <v>-0.22347669442973014</v>
      </c>
      <c r="AD21" s="25"/>
      <c r="AE21" s="8">
        <v>3.4838615543497599E-4</v>
      </c>
      <c r="AF21" s="26"/>
      <c r="AG21" s="9">
        <f t="shared" si="4"/>
        <v>0</v>
      </c>
      <c r="AH21" s="9">
        <f t="shared" si="1"/>
        <v>0</v>
      </c>
      <c r="AI21" s="9">
        <f t="shared" si="2"/>
        <v>-475882</v>
      </c>
      <c r="AJ21" s="9">
        <v>9</v>
      </c>
      <c r="AK21" s="9">
        <v>26</v>
      </c>
      <c r="AL21" s="9">
        <v>1</v>
      </c>
      <c r="AM21" s="7"/>
      <c r="AN21" s="2" t="e">
        <f t="shared" si="3"/>
        <v>#VALUE!</v>
      </c>
      <c r="AO21" s="3" t="e">
        <f t="shared" si="5"/>
        <v>#VALUE!</v>
      </c>
      <c r="AP21" s="10" t="e">
        <f t="shared" si="6"/>
        <v>#VALUE!</v>
      </c>
    </row>
    <row r="22" spans="1:42" x14ac:dyDescent="0.4">
      <c r="A22" s="1" t="s">
        <v>35</v>
      </c>
      <c r="B22">
        <v>173</v>
      </c>
      <c r="C22">
        <v>0</v>
      </c>
      <c r="D22">
        <v>0</v>
      </c>
      <c r="E22">
        <v>2499</v>
      </c>
      <c r="F22">
        <v>0</v>
      </c>
      <c r="G22">
        <v>87</v>
      </c>
      <c r="H22">
        <v>0</v>
      </c>
      <c r="I22">
        <v>300</v>
      </c>
      <c r="J22">
        <v>0</v>
      </c>
      <c r="K22">
        <v>200</v>
      </c>
      <c r="L22">
        <v>100</v>
      </c>
      <c r="M22">
        <v>100</v>
      </c>
      <c r="N22">
        <v>3944</v>
      </c>
      <c r="O22">
        <v>4958</v>
      </c>
      <c r="P22">
        <v>2635</v>
      </c>
      <c r="Q22">
        <v>0</v>
      </c>
      <c r="R22">
        <v>661</v>
      </c>
      <c r="S22">
        <v>0</v>
      </c>
      <c r="T22">
        <v>100</v>
      </c>
      <c r="U22">
        <v>1956</v>
      </c>
      <c r="V22">
        <v>4031</v>
      </c>
      <c r="W22">
        <v>1656</v>
      </c>
      <c r="X22" s="1">
        <v>8902</v>
      </c>
      <c r="Y22" s="1">
        <v>1614</v>
      </c>
      <c r="Z22" s="1">
        <v>25706</v>
      </c>
      <c r="AA22" s="1">
        <v>16404</v>
      </c>
      <c r="AB22" s="1">
        <v>11556</v>
      </c>
      <c r="AC22" s="1">
        <f t="shared" si="0"/>
        <v>-0.24972690572310616</v>
      </c>
      <c r="AD22" s="25"/>
      <c r="AE22" s="8">
        <v>1.3804128022651442E-3</v>
      </c>
      <c r="AF22" s="26"/>
      <c r="AG22" s="9">
        <f t="shared" si="4"/>
        <v>0</v>
      </c>
      <c r="AH22" s="9">
        <f t="shared" si="1"/>
        <v>0</v>
      </c>
      <c r="AI22" s="9">
        <f t="shared" si="2"/>
        <v>-10516</v>
      </c>
      <c r="AJ22" s="9">
        <v>41</v>
      </c>
      <c r="AK22" s="9">
        <v>112</v>
      </c>
      <c r="AL22" s="9">
        <v>1</v>
      </c>
      <c r="AM22" s="7"/>
      <c r="AN22" s="2" t="e">
        <f t="shared" si="3"/>
        <v>#VALUE!</v>
      </c>
      <c r="AO22" s="3" t="e">
        <f t="shared" si="5"/>
        <v>#VALUE!</v>
      </c>
      <c r="AP22" s="10" t="e">
        <f t="shared" si="6"/>
        <v>#VALUE!</v>
      </c>
    </row>
    <row r="23" spans="1:42" x14ac:dyDescent="0.4">
      <c r="A23" s="1" t="s">
        <v>16</v>
      </c>
      <c r="B23">
        <v>1000</v>
      </c>
      <c r="C23">
        <v>0</v>
      </c>
      <c r="D23">
        <v>0</v>
      </c>
      <c r="E23">
        <v>2401</v>
      </c>
      <c r="F23">
        <v>2000</v>
      </c>
      <c r="G23">
        <v>1000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1000</v>
      </c>
      <c r="O23">
        <v>5401</v>
      </c>
      <c r="P23">
        <v>4502</v>
      </c>
      <c r="Q23">
        <v>0</v>
      </c>
      <c r="R23">
        <v>1</v>
      </c>
      <c r="S23">
        <v>0</v>
      </c>
      <c r="T23">
        <v>0</v>
      </c>
      <c r="U23">
        <v>0</v>
      </c>
      <c r="V23">
        <v>3702</v>
      </c>
      <c r="W23">
        <v>0</v>
      </c>
      <c r="X23" s="1">
        <v>6401</v>
      </c>
      <c r="Y23" s="1">
        <v>3401</v>
      </c>
      <c r="Z23" s="1">
        <v>24905</v>
      </c>
      <c r="AA23" s="1">
        <v>12802</v>
      </c>
      <c r="AB23" s="1">
        <v>10802</v>
      </c>
      <c r="AC23" s="1">
        <f t="shared" si="0"/>
        <v>-0.2599517330999549</v>
      </c>
      <c r="AD23" s="25"/>
      <c r="AE23" s="8">
        <v>4.5984708276110791E-4</v>
      </c>
      <c r="AF23" s="26"/>
      <c r="AG23" s="9">
        <f t="shared" si="4"/>
        <v>0</v>
      </c>
      <c r="AH23" s="9">
        <f t="shared" si="1"/>
        <v>0</v>
      </c>
      <c r="AI23" s="9">
        <f t="shared" si="2"/>
        <v>-9802</v>
      </c>
      <c r="AJ23" s="9">
        <v>11</v>
      </c>
      <c r="AK23" s="9">
        <v>19</v>
      </c>
      <c r="AL23" s="9">
        <v>1</v>
      </c>
      <c r="AM23" s="7"/>
      <c r="AN23" s="2" t="e">
        <f t="shared" si="3"/>
        <v>#VALUE!</v>
      </c>
      <c r="AO23" s="3" t="e">
        <f t="shared" si="5"/>
        <v>#VALUE!</v>
      </c>
      <c r="AP23" s="10" t="e">
        <f t="shared" si="6"/>
        <v>#VALUE!</v>
      </c>
    </row>
    <row r="24" spans="1:42" x14ac:dyDescent="0.4">
      <c r="A24" s="1" t="s">
        <v>19</v>
      </c>
      <c r="B24">
        <v>0</v>
      </c>
      <c r="C24">
        <v>0</v>
      </c>
      <c r="D24">
        <v>0</v>
      </c>
      <c r="E24">
        <v>2301</v>
      </c>
      <c r="F24">
        <v>0</v>
      </c>
      <c r="G24">
        <v>1000</v>
      </c>
      <c r="H24">
        <v>0</v>
      </c>
      <c r="I24">
        <v>0</v>
      </c>
      <c r="J24">
        <v>0</v>
      </c>
      <c r="K24">
        <v>1100</v>
      </c>
      <c r="L24">
        <v>2000</v>
      </c>
      <c r="M24">
        <v>0</v>
      </c>
      <c r="N24">
        <v>1000</v>
      </c>
      <c r="O24">
        <v>5401</v>
      </c>
      <c r="P24">
        <v>4502</v>
      </c>
      <c r="Q24">
        <v>0</v>
      </c>
      <c r="R24">
        <v>1</v>
      </c>
      <c r="S24">
        <v>0</v>
      </c>
      <c r="T24">
        <v>1000</v>
      </c>
      <c r="U24">
        <v>0</v>
      </c>
      <c r="V24">
        <v>3702</v>
      </c>
      <c r="W24">
        <v>0</v>
      </c>
      <c r="X24" s="1">
        <v>6401</v>
      </c>
      <c r="Y24" s="1">
        <v>3401</v>
      </c>
      <c r="Z24" s="1">
        <v>25905</v>
      </c>
      <c r="AA24" s="1">
        <v>13802</v>
      </c>
      <c r="AB24" s="1">
        <v>11802</v>
      </c>
      <c r="AC24" s="1">
        <f t="shared" si="0"/>
        <v>-0.24685823658297026</v>
      </c>
      <c r="AD24" s="25"/>
      <c r="AE24" s="8">
        <v>7.1621938481870699E-4</v>
      </c>
      <c r="AF24" s="26"/>
      <c r="AG24" s="9">
        <f t="shared" si="4"/>
        <v>0</v>
      </c>
      <c r="AH24" s="9">
        <f t="shared" si="1"/>
        <v>0</v>
      </c>
      <c r="AI24" s="9">
        <f t="shared" si="2"/>
        <v>-9802</v>
      </c>
      <c r="AJ24" s="9">
        <v>11</v>
      </c>
      <c r="AK24" s="9">
        <v>20</v>
      </c>
      <c r="AL24" s="9">
        <v>1</v>
      </c>
      <c r="AM24" s="7"/>
      <c r="AN24" s="2" t="e">
        <f t="shared" si="3"/>
        <v>#VALUE!</v>
      </c>
      <c r="AO24" s="3" t="e">
        <f t="shared" si="5"/>
        <v>#VALUE!</v>
      </c>
      <c r="AP24" s="10" t="e">
        <f t="shared" si="6"/>
        <v>#VALUE!</v>
      </c>
    </row>
    <row r="25" spans="1:42" x14ac:dyDescent="0.4">
      <c r="A25" s="1" t="s">
        <v>22</v>
      </c>
      <c r="B25">
        <v>0</v>
      </c>
      <c r="C25">
        <v>0</v>
      </c>
      <c r="D25">
        <v>1000</v>
      </c>
      <c r="E25">
        <v>5000</v>
      </c>
      <c r="F25">
        <v>1000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1000</v>
      </c>
      <c r="O25">
        <v>5000</v>
      </c>
      <c r="P25">
        <v>3000</v>
      </c>
      <c r="Q25">
        <v>0</v>
      </c>
      <c r="R25">
        <v>1</v>
      </c>
      <c r="S25">
        <v>0</v>
      </c>
      <c r="T25">
        <v>0</v>
      </c>
      <c r="U25">
        <v>0</v>
      </c>
      <c r="V25">
        <v>3000</v>
      </c>
      <c r="W25">
        <v>0</v>
      </c>
      <c r="X25" s="1">
        <v>6000</v>
      </c>
      <c r="Y25" s="1">
        <v>3000</v>
      </c>
      <c r="Z25" s="1">
        <v>25000</v>
      </c>
      <c r="AA25" s="1">
        <v>13000</v>
      </c>
      <c r="AB25" s="1">
        <v>1102</v>
      </c>
      <c r="AC25" s="1">
        <f t="shared" si="0"/>
        <v>-0.23684210526315788</v>
      </c>
      <c r="AD25" s="25"/>
      <c r="AE25" s="8">
        <v>7.5251600561691075E-4</v>
      </c>
      <c r="AF25" s="26"/>
      <c r="AG25" s="9">
        <f t="shared" si="4"/>
        <v>0</v>
      </c>
      <c r="AH25" s="9">
        <f t="shared" si="1"/>
        <v>0</v>
      </c>
      <c r="AI25" s="9">
        <f t="shared" si="2"/>
        <v>-9000</v>
      </c>
      <c r="AJ25" s="9">
        <v>7</v>
      </c>
      <c r="AK25" s="9">
        <v>14</v>
      </c>
      <c r="AL25" s="9">
        <v>1</v>
      </c>
      <c r="AM25" s="7"/>
      <c r="AN25" s="2" t="e">
        <f t="shared" si="3"/>
        <v>#VALUE!</v>
      </c>
      <c r="AO25" s="3" t="e">
        <f t="shared" si="5"/>
        <v>#VALUE!</v>
      </c>
      <c r="AP25" s="10" t="e">
        <f t="shared" si="6"/>
        <v>#VALUE!</v>
      </c>
    </row>
    <row r="26" spans="1:42" x14ac:dyDescent="0.4">
      <c r="A26" s="1" t="s">
        <v>24</v>
      </c>
      <c r="B26">
        <v>21</v>
      </c>
      <c r="C26">
        <v>0</v>
      </c>
      <c r="D26">
        <v>21</v>
      </c>
      <c r="E26">
        <v>8061</v>
      </c>
      <c r="F26">
        <v>0</v>
      </c>
      <c r="G26">
        <v>1000</v>
      </c>
      <c r="H26">
        <v>0</v>
      </c>
      <c r="I26">
        <v>3000</v>
      </c>
      <c r="J26">
        <v>0</v>
      </c>
      <c r="K26">
        <v>2000</v>
      </c>
      <c r="L26">
        <v>1000</v>
      </c>
      <c r="M26">
        <v>1000</v>
      </c>
      <c r="N26">
        <v>3000</v>
      </c>
      <c r="O26">
        <v>19122</v>
      </c>
      <c r="P26">
        <v>9081</v>
      </c>
      <c r="Q26">
        <v>0</v>
      </c>
      <c r="R26">
        <v>4021</v>
      </c>
      <c r="S26">
        <v>21</v>
      </c>
      <c r="T26">
        <v>1000</v>
      </c>
      <c r="U26">
        <v>7000</v>
      </c>
      <c r="V26">
        <v>12101</v>
      </c>
      <c r="W26">
        <v>4000</v>
      </c>
      <c r="X26" s="1">
        <v>22122</v>
      </c>
      <c r="Y26" s="1">
        <v>7061</v>
      </c>
      <c r="Z26" s="1">
        <v>90449</v>
      </c>
      <c r="AA26" s="1">
        <v>52246</v>
      </c>
      <c r="AB26" s="1">
        <v>43204</v>
      </c>
      <c r="AC26" s="1">
        <f t="shared" si="0"/>
        <v>-0.20451312239391709</v>
      </c>
      <c r="AD26" s="25"/>
      <c r="AE26" s="8">
        <v>6.9418177772833463E-4</v>
      </c>
      <c r="AF26" s="26"/>
      <c r="AG26" s="9">
        <f t="shared" si="4"/>
        <v>0</v>
      </c>
      <c r="AH26" s="9">
        <f t="shared" si="1"/>
        <v>0</v>
      </c>
      <c r="AI26" s="9">
        <f t="shared" si="2"/>
        <v>-29183</v>
      </c>
      <c r="AJ26" s="9">
        <v>11</v>
      </c>
      <c r="AK26" s="9">
        <v>75</v>
      </c>
      <c r="AL26" s="9">
        <v>1</v>
      </c>
      <c r="AM26" s="7"/>
      <c r="AN26" s="2" t="e">
        <f t="shared" si="3"/>
        <v>#VALUE!</v>
      </c>
      <c r="AO26" s="3" t="e">
        <f t="shared" si="5"/>
        <v>#VALUE!</v>
      </c>
      <c r="AP26" s="10" t="e">
        <f t="shared" si="6"/>
        <v>#VALUE!</v>
      </c>
    </row>
    <row r="27" spans="1:42" x14ac:dyDescent="0.4">
      <c r="A27" s="1" t="s">
        <v>27</v>
      </c>
      <c r="B27">
        <v>0</v>
      </c>
      <c r="C27">
        <v>0</v>
      </c>
      <c r="D27">
        <v>0</v>
      </c>
      <c r="E27">
        <v>2000</v>
      </c>
      <c r="F27">
        <v>0</v>
      </c>
      <c r="G27">
        <v>0</v>
      </c>
      <c r="H27">
        <v>0</v>
      </c>
      <c r="I27">
        <v>0</v>
      </c>
      <c r="J27">
        <v>0</v>
      </c>
      <c r="K27">
        <v>1001</v>
      </c>
      <c r="L27">
        <v>0</v>
      </c>
      <c r="M27">
        <v>0</v>
      </c>
      <c r="N27">
        <v>1000</v>
      </c>
      <c r="O27">
        <v>3001</v>
      </c>
      <c r="P27">
        <v>2001</v>
      </c>
      <c r="Q27">
        <v>0</v>
      </c>
      <c r="R27">
        <v>1</v>
      </c>
      <c r="S27">
        <v>0</v>
      </c>
      <c r="T27">
        <v>0</v>
      </c>
      <c r="U27">
        <v>1000</v>
      </c>
      <c r="V27">
        <v>3001</v>
      </c>
      <c r="W27">
        <v>0</v>
      </c>
      <c r="X27" s="1">
        <v>4001</v>
      </c>
      <c r="Y27" s="1">
        <v>2001</v>
      </c>
      <c r="Z27" s="1">
        <v>15005</v>
      </c>
      <c r="AA27" s="1">
        <v>8002</v>
      </c>
      <c r="AB27" s="1">
        <v>7002</v>
      </c>
      <c r="AC27" s="1">
        <f t="shared" si="0"/>
        <v>-0.26087712435345767</v>
      </c>
      <c r="AD27" s="25"/>
      <c r="AE27" s="8">
        <v>7.473288409362911E-4</v>
      </c>
      <c r="AF27" s="26"/>
      <c r="AG27" s="9">
        <f t="shared" si="4"/>
        <v>0</v>
      </c>
      <c r="AH27" s="9">
        <f t="shared" si="1"/>
        <v>0</v>
      </c>
      <c r="AI27" s="9">
        <f t="shared" si="2"/>
        <v>-6002.0000000000009</v>
      </c>
      <c r="AJ27" s="9">
        <v>5</v>
      </c>
      <c r="AK27" s="9">
        <v>11</v>
      </c>
      <c r="AL27" s="9">
        <v>1</v>
      </c>
      <c r="AM27" s="7"/>
      <c r="AN27" s="2" t="e">
        <f t="shared" si="3"/>
        <v>#VALUE!</v>
      </c>
      <c r="AO27" s="3" t="e">
        <f t="shared" si="5"/>
        <v>#VALUE!</v>
      </c>
      <c r="AP27" s="10" t="e">
        <f t="shared" si="6"/>
        <v>#VALUE!</v>
      </c>
    </row>
    <row r="28" spans="1:42" x14ac:dyDescent="0.4">
      <c r="A28" s="11" t="s">
        <v>43</v>
      </c>
      <c r="B28">
        <v>1320</v>
      </c>
      <c r="C28">
        <v>0</v>
      </c>
      <c r="D28">
        <v>0</v>
      </c>
      <c r="E28">
        <v>5580</v>
      </c>
      <c r="F28">
        <v>0</v>
      </c>
      <c r="G28">
        <v>0</v>
      </c>
      <c r="H28">
        <v>0</v>
      </c>
      <c r="I28">
        <v>300</v>
      </c>
      <c r="J28">
        <v>0</v>
      </c>
      <c r="K28">
        <v>200</v>
      </c>
      <c r="L28">
        <v>100</v>
      </c>
      <c r="M28">
        <v>100</v>
      </c>
      <c r="N28">
        <v>9140</v>
      </c>
      <c r="O28">
        <v>16139</v>
      </c>
      <c r="P28">
        <v>7923</v>
      </c>
      <c r="Q28">
        <v>0</v>
      </c>
      <c r="R28">
        <v>2643</v>
      </c>
      <c r="S28">
        <v>0</v>
      </c>
      <c r="T28">
        <v>100</v>
      </c>
      <c r="U28">
        <v>5480</v>
      </c>
      <c r="V28">
        <v>9642</v>
      </c>
      <c r="W28">
        <v>4060</v>
      </c>
      <c r="X28" s="1">
        <v>25279</v>
      </c>
      <c r="Y28" s="1">
        <v>5280</v>
      </c>
      <c r="Z28" s="1">
        <v>68800</v>
      </c>
      <c r="AA28" s="1">
        <v>46281</v>
      </c>
      <c r="AB28" s="1">
        <v>31659</v>
      </c>
      <c r="AC28" s="1">
        <f t="shared" si="0"/>
        <v>-0.2655433998661812</v>
      </c>
      <c r="AD28" s="25"/>
      <c r="AE28" s="8">
        <v>3.940547990599776E-4</v>
      </c>
      <c r="AF28" s="26"/>
      <c r="AG28" s="9">
        <f t="shared" si="4"/>
        <v>0</v>
      </c>
      <c r="AH28" s="9">
        <f t="shared" si="1"/>
        <v>0</v>
      </c>
      <c r="AI28" s="9">
        <f t="shared" si="2"/>
        <v>-30558.999999999996</v>
      </c>
      <c r="AJ28" s="9">
        <v>20</v>
      </c>
      <c r="AK28" s="9">
        <v>75</v>
      </c>
      <c r="AL28" s="9">
        <v>1</v>
      </c>
      <c r="AM28" s="7"/>
      <c r="AN28" s="2" t="e">
        <f t="shared" si="3"/>
        <v>#VALUE!</v>
      </c>
      <c r="AO28" s="3" t="e">
        <f t="shared" si="5"/>
        <v>#VALUE!</v>
      </c>
      <c r="AP28" s="10" t="e">
        <f t="shared" si="6"/>
        <v>#VALUE!</v>
      </c>
    </row>
    <row r="29" spans="1:42" x14ac:dyDescent="0.4">
      <c r="A29" s="11" t="s">
        <v>44</v>
      </c>
      <c r="B29">
        <v>733</v>
      </c>
      <c r="C29">
        <v>0</v>
      </c>
      <c r="D29">
        <v>0</v>
      </c>
      <c r="E29">
        <v>3978</v>
      </c>
      <c r="F29">
        <v>2</v>
      </c>
      <c r="G29">
        <v>6</v>
      </c>
      <c r="H29">
        <v>0</v>
      </c>
      <c r="I29">
        <v>300</v>
      </c>
      <c r="J29">
        <v>0</v>
      </c>
      <c r="K29">
        <v>200</v>
      </c>
      <c r="L29">
        <v>100</v>
      </c>
      <c r="M29">
        <v>100</v>
      </c>
      <c r="N29">
        <v>6859</v>
      </c>
      <c r="O29">
        <v>8205</v>
      </c>
      <c r="P29">
        <v>3864</v>
      </c>
      <c r="Q29">
        <v>0</v>
      </c>
      <c r="R29">
        <v>1105</v>
      </c>
      <c r="S29">
        <v>0</v>
      </c>
      <c r="T29">
        <v>100</v>
      </c>
      <c r="U29">
        <v>2768</v>
      </c>
      <c r="V29">
        <v>5741</v>
      </c>
      <c r="W29">
        <v>2299</v>
      </c>
      <c r="X29" s="1">
        <v>15064</v>
      </c>
      <c r="Y29" s="1">
        <v>2578</v>
      </c>
      <c r="Z29" s="1">
        <v>40834</v>
      </c>
      <c r="AA29" s="1">
        <v>27105</v>
      </c>
      <c r="AB29" s="1">
        <v>17658</v>
      </c>
      <c r="AC29" s="1">
        <f t="shared" si="0"/>
        <v>-0.25967411943066576</v>
      </c>
      <c r="AD29" s="25"/>
      <c r="AE29" s="8">
        <v>6.6057476592416386E-4</v>
      </c>
      <c r="AF29" s="26"/>
      <c r="AG29" s="9">
        <f t="shared" si="4"/>
        <v>0</v>
      </c>
      <c r="AH29" s="9">
        <f t="shared" si="1"/>
        <v>0</v>
      </c>
      <c r="AI29" s="9">
        <f t="shared" si="2"/>
        <v>-17642</v>
      </c>
      <c r="AJ29" s="9">
        <v>28</v>
      </c>
      <c r="AK29" s="9">
        <v>92</v>
      </c>
      <c r="AL29" s="9">
        <v>1</v>
      </c>
      <c r="AM29" s="7"/>
      <c r="AN29" s="2" t="e">
        <f t="shared" si="3"/>
        <v>#VALUE!</v>
      </c>
      <c r="AO29" s="3" t="e">
        <f t="shared" si="5"/>
        <v>#VALUE!</v>
      </c>
      <c r="AP29" s="10" t="e">
        <f t="shared" si="6"/>
        <v>#VALUE!</v>
      </c>
    </row>
    <row r="30" spans="1:42" x14ac:dyDescent="0.4">
      <c r="A30" s="11" t="s">
        <v>42</v>
      </c>
      <c r="B30">
        <v>336</v>
      </c>
      <c r="C30">
        <v>0</v>
      </c>
      <c r="D30">
        <v>0</v>
      </c>
      <c r="E30">
        <v>1431</v>
      </c>
      <c r="F30">
        <v>0</v>
      </c>
      <c r="G30">
        <v>0</v>
      </c>
      <c r="H30">
        <v>0</v>
      </c>
      <c r="I30">
        <v>40</v>
      </c>
      <c r="J30">
        <v>40</v>
      </c>
      <c r="K30">
        <v>40</v>
      </c>
      <c r="L30">
        <v>0</v>
      </c>
      <c r="M30">
        <v>0</v>
      </c>
      <c r="N30">
        <v>546</v>
      </c>
      <c r="O30">
        <v>1559</v>
      </c>
      <c r="P30">
        <v>775</v>
      </c>
      <c r="Q30">
        <v>0</v>
      </c>
      <c r="R30">
        <v>343</v>
      </c>
      <c r="S30">
        <v>342</v>
      </c>
      <c r="T30">
        <v>2</v>
      </c>
      <c r="U30">
        <v>41</v>
      </c>
      <c r="V30">
        <v>1142</v>
      </c>
      <c r="W30">
        <v>0</v>
      </c>
      <c r="X30" s="1">
        <v>2105</v>
      </c>
      <c r="Y30" s="1">
        <v>432</v>
      </c>
      <c r="Z30" s="1">
        <v>7786</v>
      </c>
      <c r="AA30" s="1">
        <v>4377</v>
      </c>
      <c r="AB30" s="1">
        <v>3413</v>
      </c>
      <c r="AC30" s="1">
        <f t="shared" si="0"/>
        <v>-0.20858340869851189</v>
      </c>
      <c r="AD30" s="25"/>
      <c r="AE30" s="8">
        <v>4.181550439587677E-3</v>
      </c>
      <c r="AF30" s="26"/>
      <c r="AG30" s="9">
        <f t="shared" si="4"/>
        <v>0</v>
      </c>
      <c r="AH30" s="9">
        <f t="shared" si="1"/>
        <v>0</v>
      </c>
      <c r="AI30" s="9">
        <f t="shared" si="2"/>
        <v>-2537</v>
      </c>
      <c r="AJ30" s="9">
        <v>31</v>
      </c>
      <c r="AK30" s="9">
        <v>75</v>
      </c>
      <c r="AL30" s="9">
        <v>1</v>
      </c>
      <c r="AM30" s="7"/>
      <c r="AN30" s="2" t="e">
        <f t="shared" si="3"/>
        <v>#VALUE!</v>
      </c>
      <c r="AO30" s="3" t="e">
        <f t="shared" si="5"/>
        <v>#VALUE!</v>
      </c>
      <c r="AP30" s="10" t="e">
        <f t="shared" si="6"/>
        <v>#VALUE!</v>
      </c>
    </row>
    <row r="31" spans="1:42" x14ac:dyDescent="0.4">
      <c r="A31" s="1" t="s">
        <v>45</v>
      </c>
      <c r="B31">
        <v>0</v>
      </c>
      <c r="C31">
        <v>0</v>
      </c>
      <c r="D31">
        <v>0</v>
      </c>
      <c r="E31">
        <v>392</v>
      </c>
      <c r="F31">
        <v>0</v>
      </c>
      <c r="G31">
        <v>0</v>
      </c>
      <c r="H31">
        <v>60</v>
      </c>
      <c r="I31">
        <v>0</v>
      </c>
      <c r="J31">
        <v>1</v>
      </c>
      <c r="K31">
        <v>218</v>
      </c>
      <c r="L31">
        <v>0</v>
      </c>
      <c r="M31">
        <v>97</v>
      </c>
      <c r="N31">
        <v>316</v>
      </c>
      <c r="O31">
        <v>820</v>
      </c>
      <c r="P31">
        <v>471</v>
      </c>
      <c r="Q31">
        <v>0</v>
      </c>
      <c r="R31">
        <v>111</v>
      </c>
      <c r="S31">
        <v>110</v>
      </c>
      <c r="T31">
        <v>0</v>
      </c>
      <c r="U31">
        <v>146</v>
      </c>
      <c r="V31">
        <v>762</v>
      </c>
      <c r="W31">
        <v>147</v>
      </c>
      <c r="X31" s="1">
        <v>1136</v>
      </c>
      <c r="Y31" s="1">
        <v>360</v>
      </c>
      <c r="Z31" s="1">
        <v>4276</v>
      </c>
      <c r="AA31" s="1">
        <v>2307</v>
      </c>
      <c r="AB31" s="1">
        <v>1930</v>
      </c>
      <c r="AC31" s="1">
        <f t="shared" si="0"/>
        <v>-0.22725201276013976</v>
      </c>
      <c r="AD31" s="25"/>
      <c r="AE31" s="8">
        <v>2.9467325471871857E-4</v>
      </c>
      <c r="AF31" s="26"/>
      <c r="AG31" s="9">
        <f t="shared" si="4"/>
        <v>0</v>
      </c>
      <c r="AH31" s="9">
        <f t="shared" si="1"/>
        <v>0</v>
      </c>
      <c r="AI31" s="9">
        <f t="shared" si="2"/>
        <v>-1496</v>
      </c>
      <c r="AJ31" s="9">
        <v>46</v>
      </c>
      <c r="AK31" s="9">
        <v>100</v>
      </c>
      <c r="AL31" s="9">
        <v>1</v>
      </c>
      <c r="AM31" s="7"/>
      <c r="AN31" s="2" t="e">
        <f t="shared" si="3"/>
        <v>#VALUE!</v>
      </c>
      <c r="AO31" s="3" t="e">
        <f t="shared" si="5"/>
        <v>#VALUE!</v>
      </c>
      <c r="AP31" s="10" t="e">
        <f t="shared" si="6"/>
        <v>#VALUE!</v>
      </c>
    </row>
    <row r="32" spans="1:42" x14ac:dyDescent="0.4">
      <c r="A32" s="1" t="s">
        <v>46</v>
      </c>
      <c r="B32">
        <v>1</v>
      </c>
      <c r="C32">
        <v>490</v>
      </c>
      <c r="D32">
        <v>490</v>
      </c>
      <c r="E32">
        <v>2067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1016</v>
      </c>
      <c r="O32">
        <v>2562</v>
      </c>
      <c r="P32">
        <v>1061</v>
      </c>
      <c r="Q32">
        <v>0</v>
      </c>
      <c r="R32">
        <v>11</v>
      </c>
      <c r="S32">
        <v>10</v>
      </c>
      <c r="T32">
        <v>0</v>
      </c>
      <c r="U32">
        <v>26</v>
      </c>
      <c r="V32">
        <v>1576</v>
      </c>
      <c r="W32">
        <v>27</v>
      </c>
      <c r="X32" s="1">
        <v>3578</v>
      </c>
      <c r="Y32" s="1">
        <v>1050</v>
      </c>
      <c r="Z32" s="1">
        <v>11882</v>
      </c>
      <c r="AA32" s="1">
        <v>6689</v>
      </c>
      <c r="AB32" s="1">
        <v>4692</v>
      </c>
      <c r="AC32" s="1">
        <f t="shared" si="0"/>
        <v>-0.24920575090194388</v>
      </c>
      <c r="AD32" s="25"/>
      <c r="AE32" s="8">
        <v>1.6532435771258679E-3</v>
      </c>
      <c r="AF32" s="26"/>
      <c r="AG32" s="9">
        <f t="shared" si="4"/>
        <v>0</v>
      </c>
      <c r="AH32" s="9">
        <f t="shared" si="1"/>
        <v>0</v>
      </c>
      <c r="AI32" s="9">
        <f t="shared" si="2"/>
        <v>-4628</v>
      </c>
      <c r="AJ32" s="9">
        <v>37</v>
      </c>
      <c r="AK32" s="9">
        <v>73</v>
      </c>
      <c r="AL32" s="9">
        <v>1</v>
      </c>
      <c r="AM32" s="7"/>
      <c r="AN32" s="2" t="e">
        <f t="shared" si="3"/>
        <v>#VALUE!</v>
      </c>
      <c r="AO32" s="3" t="e">
        <f t="shared" si="5"/>
        <v>#VALUE!</v>
      </c>
      <c r="AP32" s="10" t="e">
        <f t="shared" si="6"/>
        <v>#VALUE!</v>
      </c>
    </row>
    <row r="33" spans="1:42" x14ac:dyDescent="0.4">
      <c r="A33" s="1" t="s">
        <v>47</v>
      </c>
      <c r="B33">
        <v>0</v>
      </c>
      <c r="C33">
        <v>0</v>
      </c>
      <c r="D33">
        <v>0</v>
      </c>
      <c r="E33">
        <v>1066</v>
      </c>
      <c r="F33">
        <v>0</v>
      </c>
      <c r="G33">
        <v>0</v>
      </c>
      <c r="H33">
        <v>0</v>
      </c>
      <c r="I33">
        <v>500</v>
      </c>
      <c r="J33">
        <v>501</v>
      </c>
      <c r="K33">
        <v>1024</v>
      </c>
      <c r="L33">
        <v>0</v>
      </c>
      <c r="M33">
        <v>17</v>
      </c>
      <c r="N33">
        <v>536</v>
      </c>
      <c r="O33">
        <v>3112</v>
      </c>
      <c r="P33">
        <v>1081</v>
      </c>
      <c r="Q33">
        <v>0</v>
      </c>
      <c r="R33">
        <v>11</v>
      </c>
      <c r="S33">
        <v>10</v>
      </c>
      <c r="T33">
        <v>500</v>
      </c>
      <c r="U33">
        <v>26</v>
      </c>
      <c r="V33">
        <v>1606</v>
      </c>
      <c r="W33">
        <v>27</v>
      </c>
      <c r="X33" s="1">
        <v>3648</v>
      </c>
      <c r="Y33" s="1">
        <v>1070</v>
      </c>
      <c r="Z33" s="1">
        <v>12612</v>
      </c>
      <c r="AA33" s="1">
        <v>7319</v>
      </c>
      <c r="AB33" s="1">
        <v>5282</v>
      </c>
      <c r="AC33" s="1">
        <f t="shared" si="0"/>
        <v>-0.23671667252019468</v>
      </c>
      <c r="AD33" s="25"/>
      <c r="AE33" s="8">
        <v>1.298499049156524E-3</v>
      </c>
      <c r="AF33" s="26"/>
      <c r="AG33" s="9">
        <f t="shared" si="4"/>
        <v>0</v>
      </c>
      <c r="AH33" s="9">
        <f t="shared" si="1"/>
        <v>0</v>
      </c>
      <c r="AI33" s="9">
        <f t="shared" si="2"/>
        <v>-4718</v>
      </c>
      <c r="AJ33" s="9">
        <v>37</v>
      </c>
      <c r="AK33" s="9">
        <v>74</v>
      </c>
      <c r="AL33" s="9">
        <v>1</v>
      </c>
      <c r="AM33" s="7"/>
      <c r="AN33" s="2" t="e">
        <f t="shared" si="3"/>
        <v>#VALUE!</v>
      </c>
      <c r="AO33" s="3" t="e">
        <f t="shared" si="5"/>
        <v>#VALUE!</v>
      </c>
      <c r="AP33" s="10" t="e">
        <f t="shared" si="6"/>
        <v>#VALUE!</v>
      </c>
    </row>
    <row r="34" spans="1:42" x14ac:dyDescent="0.4">
      <c r="A34" s="1" t="s">
        <v>48</v>
      </c>
      <c r="B34">
        <v>852</v>
      </c>
      <c r="C34">
        <v>0</v>
      </c>
      <c r="D34">
        <v>812</v>
      </c>
      <c r="E34">
        <v>3638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1781</v>
      </c>
      <c r="O34">
        <v>5383</v>
      </c>
      <c r="P34">
        <v>3649</v>
      </c>
      <c r="Q34">
        <v>0</v>
      </c>
      <c r="R34">
        <v>41</v>
      </c>
      <c r="S34">
        <v>40</v>
      </c>
      <c r="T34">
        <v>0</v>
      </c>
      <c r="U34">
        <v>116</v>
      </c>
      <c r="V34">
        <v>4616</v>
      </c>
      <c r="W34">
        <v>969</v>
      </c>
      <c r="X34" s="1">
        <v>7164</v>
      </c>
      <c r="Y34" s="1">
        <v>2756</v>
      </c>
      <c r="Z34" s="1">
        <v>25442</v>
      </c>
      <c r="AA34" s="1">
        <v>13591</v>
      </c>
      <c r="AB34" s="1">
        <v>10146</v>
      </c>
      <c r="AC34" s="1">
        <f t="shared" si="0"/>
        <v>-0.25414392949555503</v>
      </c>
      <c r="AD34" s="25"/>
      <c r="AE34" s="8">
        <v>7.1500425597771416E-4</v>
      </c>
      <c r="AF34" s="26"/>
      <c r="AG34" s="9">
        <f t="shared" si="4"/>
        <v>0</v>
      </c>
      <c r="AH34" s="9">
        <f t="shared" si="1"/>
        <v>0</v>
      </c>
      <c r="AI34" s="9">
        <f t="shared" si="2"/>
        <v>-9920</v>
      </c>
      <c r="AJ34" s="9">
        <v>40</v>
      </c>
      <c r="AK34" s="9">
        <v>70</v>
      </c>
      <c r="AL34" s="9">
        <v>1</v>
      </c>
      <c r="AM34" s="7"/>
      <c r="AN34" s="2" t="e">
        <f t="shared" si="3"/>
        <v>#VALUE!</v>
      </c>
      <c r="AO34" s="3" t="e">
        <f t="shared" si="5"/>
        <v>#VALUE!</v>
      </c>
      <c r="AP34" s="10" t="e">
        <f t="shared" si="6"/>
        <v>#VALUE!</v>
      </c>
    </row>
    <row r="35" spans="1:42" x14ac:dyDescent="0.4">
      <c r="A35" s="1" t="s">
        <v>49</v>
      </c>
      <c r="B35">
        <v>0</v>
      </c>
      <c r="C35">
        <v>0</v>
      </c>
      <c r="D35">
        <v>0</v>
      </c>
      <c r="E35">
        <v>56</v>
      </c>
      <c r="F35">
        <v>0</v>
      </c>
      <c r="G35">
        <v>0</v>
      </c>
      <c r="H35">
        <v>474</v>
      </c>
      <c r="I35">
        <v>0</v>
      </c>
      <c r="J35">
        <v>464</v>
      </c>
      <c r="K35">
        <v>1890</v>
      </c>
      <c r="L35">
        <v>0</v>
      </c>
      <c r="M35">
        <v>0</v>
      </c>
      <c r="N35">
        <v>965</v>
      </c>
      <c r="O35">
        <v>2905</v>
      </c>
      <c r="P35">
        <v>1957</v>
      </c>
      <c r="Q35">
        <v>0</v>
      </c>
      <c r="R35">
        <v>11</v>
      </c>
      <c r="S35">
        <v>10</v>
      </c>
      <c r="T35">
        <v>0</v>
      </c>
      <c r="U35">
        <v>26</v>
      </c>
      <c r="V35">
        <v>2456</v>
      </c>
      <c r="W35">
        <v>501</v>
      </c>
      <c r="X35" s="1">
        <v>3870</v>
      </c>
      <c r="Y35" s="1">
        <v>1472</v>
      </c>
      <c r="Z35" s="1">
        <v>13628</v>
      </c>
      <c r="AA35" s="1">
        <v>7291</v>
      </c>
      <c r="AB35" s="1">
        <v>5388</v>
      </c>
      <c r="AC35" s="1">
        <f t="shared" si="0"/>
        <v>-0.25536593527415269</v>
      </c>
      <c r="AD35" s="25"/>
      <c r="AE35" s="8">
        <v>2.4576159167347977E-3</v>
      </c>
      <c r="AF35" s="26"/>
      <c r="AG35" s="9">
        <f t="shared" si="4"/>
        <v>0</v>
      </c>
      <c r="AH35" s="9">
        <f t="shared" si="1"/>
        <v>0</v>
      </c>
      <c r="AI35" s="9">
        <f t="shared" si="2"/>
        <v>-5342</v>
      </c>
      <c r="AJ35" s="9">
        <v>41</v>
      </c>
      <c r="AK35" s="9">
        <v>70</v>
      </c>
      <c r="AL35" s="9">
        <v>1</v>
      </c>
      <c r="AM35" s="7"/>
      <c r="AN35" s="2" t="e">
        <f t="shared" si="3"/>
        <v>#VALUE!</v>
      </c>
      <c r="AO35" s="3" t="e">
        <f t="shared" si="5"/>
        <v>#VALUE!</v>
      </c>
      <c r="AP35" s="10" t="e">
        <f t="shared" si="6"/>
        <v>#VALUE!</v>
      </c>
    </row>
    <row r="36" spans="1:42" x14ac:dyDescent="0.4">
      <c r="A36" s="11" t="s">
        <v>50</v>
      </c>
      <c r="B36">
        <v>242</v>
      </c>
      <c r="C36">
        <v>0</v>
      </c>
      <c r="D36">
        <v>0</v>
      </c>
      <c r="E36">
        <v>1035</v>
      </c>
      <c r="F36">
        <v>0</v>
      </c>
      <c r="G36">
        <v>241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578</v>
      </c>
      <c r="O36">
        <v>1545</v>
      </c>
      <c r="P36">
        <v>658</v>
      </c>
      <c r="Q36">
        <v>0</v>
      </c>
      <c r="R36">
        <v>508</v>
      </c>
      <c r="S36">
        <v>25</v>
      </c>
      <c r="T36">
        <v>0</v>
      </c>
      <c r="U36">
        <v>71</v>
      </c>
      <c r="V36">
        <v>1065</v>
      </c>
      <c r="W36">
        <v>72</v>
      </c>
      <c r="X36" s="1">
        <v>2123</v>
      </c>
      <c r="Y36" s="1">
        <v>391</v>
      </c>
      <c r="Z36" s="1">
        <v>7113</v>
      </c>
      <c r="AA36" s="1">
        <v>4050</v>
      </c>
      <c r="AB36" s="1">
        <v>2989</v>
      </c>
      <c r="AC36" s="1">
        <f t="shared" si="0"/>
        <v>-0.22520827734479978</v>
      </c>
      <c r="AD36" s="25"/>
      <c r="AE36" s="8">
        <v>3.060295687462767E-3</v>
      </c>
      <c r="AF36" s="26"/>
      <c r="AG36" s="9">
        <f t="shared" si="4"/>
        <v>0</v>
      </c>
      <c r="AH36" s="9">
        <f t="shared" si="1"/>
        <v>0</v>
      </c>
      <c r="AI36" s="9">
        <f t="shared" si="2"/>
        <v>-2514</v>
      </c>
      <c r="AJ36" s="9">
        <v>47</v>
      </c>
      <c r="AK36" s="9">
        <v>104</v>
      </c>
      <c r="AL36" s="9">
        <v>1</v>
      </c>
      <c r="AM36" s="7"/>
      <c r="AN36" s="2" t="e">
        <f t="shared" si="3"/>
        <v>#VALUE!</v>
      </c>
      <c r="AO36" s="3" t="e">
        <f t="shared" si="5"/>
        <v>#VALUE!</v>
      </c>
      <c r="AP36" s="10" t="e">
        <f t="shared" si="6"/>
        <v>#VALUE!</v>
      </c>
    </row>
    <row r="37" spans="1:42" x14ac:dyDescent="0.4">
      <c r="A37" s="11" t="s">
        <v>51</v>
      </c>
      <c r="B37">
        <v>0</v>
      </c>
      <c r="C37">
        <v>0</v>
      </c>
      <c r="D37">
        <v>875</v>
      </c>
      <c r="E37">
        <v>3125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992</v>
      </c>
      <c r="O37">
        <v>4121</v>
      </c>
      <c r="P37">
        <v>2986</v>
      </c>
      <c r="Q37">
        <v>0</v>
      </c>
      <c r="R37">
        <v>31</v>
      </c>
      <c r="S37">
        <v>30</v>
      </c>
      <c r="T37">
        <v>0</v>
      </c>
      <c r="U37">
        <v>86</v>
      </c>
      <c r="V37">
        <v>3281</v>
      </c>
      <c r="W37">
        <v>87</v>
      </c>
      <c r="X37" s="1">
        <v>5113</v>
      </c>
      <c r="Y37" s="1">
        <v>2020</v>
      </c>
      <c r="Z37" s="1">
        <v>17851</v>
      </c>
      <c r="AA37" s="1">
        <v>9316</v>
      </c>
      <c r="AB37" s="1">
        <v>7449</v>
      </c>
      <c r="AC37" s="1">
        <f t="shared" si="0"/>
        <v>-0.26256119556815255</v>
      </c>
      <c r="AD37" s="25"/>
      <c r="AE37" s="8">
        <v>9.7406373575250054E-4</v>
      </c>
      <c r="AF37" s="26"/>
      <c r="AG37" s="9">
        <f t="shared" si="4"/>
        <v>0</v>
      </c>
      <c r="AH37" s="9">
        <f t="shared" si="1"/>
        <v>0</v>
      </c>
      <c r="AI37" s="9">
        <f t="shared" si="2"/>
        <v>-7133</v>
      </c>
      <c r="AJ37" s="9">
        <v>47</v>
      </c>
      <c r="AK37" s="9">
        <v>96</v>
      </c>
      <c r="AL37" s="9">
        <v>1</v>
      </c>
      <c r="AM37" s="7"/>
      <c r="AN37" s="2" t="e">
        <f t="shared" si="3"/>
        <v>#VALUE!</v>
      </c>
      <c r="AO37" s="3" t="e">
        <f t="shared" si="5"/>
        <v>#VALUE!</v>
      </c>
      <c r="AP37" s="10" t="e">
        <f t="shared" si="6"/>
        <v>#VALUE!</v>
      </c>
    </row>
    <row r="38" spans="1:42" x14ac:dyDescent="0.4">
      <c r="A38" s="11" t="s">
        <v>52</v>
      </c>
      <c r="B38">
        <v>0</v>
      </c>
      <c r="C38">
        <v>0</v>
      </c>
      <c r="D38">
        <v>0</v>
      </c>
      <c r="E38">
        <v>596</v>
      </c>
      <c r="F38">
        <v>0</v>
      </c>
      <c r="G38">
        <v>0</v>
      </c>
      <c r="H38">
        <v>0</v>
      </c>
      <c r="I38">
        <v>0</v>
      </c>
      <c r="J38">
        <v>0</v>
      </c>
      <c r="K38">
        <v>1094</v>
      </c>
      <c r="L38">
        <v>196</v>
      </c>
      <c r="M38">
        <v>0</v>
      </c>
      <c r="N38">
        <v>397</v>
      </c>
      <c r="O38">
        <v>2287</v>
      </c>
      <c r="P38">
        <v>1397</v>
      </c>
      <c r="Q38">
        <v>0</v>
      </c>
      <c r="R38">
        <v>101</v>
      </c>
      <c r="S38">
        <v>100</v>
      </c>
      <c r="T38">
        <v>0</v>
      </c>
      <c r="U38">
        <v>296</v>
      </c>
      <c r="V38">
        <v>2392</v>
      </c>
      <c r="W38">
        <v>297</v>
      </c>
      <c r="X38" s="1">
        <v>2684</v>
      </c>
      <c r="Y38" s="1">
        <v>1096</v>
      </c>
      <c r="Z38" s="1">
        <v>10830</v>
      </c>
      <c r="AA38" s="1">
        <v>5263</v>
      </c>
      <c r="AB38" s="1">
        <v>4866</v>
      </c>
      <c r="AC38" s="1">
        <f t="shared" si="0"/>
        <v>-0.234884732492388</v>
      </c>
      <c r="AD38" s="25"/>
      <c r="AE38" s="8">
        <v>3.517873140804045E-5</v>
      </c>
      <c r="AF38" s="26"/>
      <c r="AG38" s="9">
        <f t="shared" si="4"/>
        <v>0</v>
      </c>
      <c r="AH38" s="9">
        <f t="shared" si="1"/>
        <v>0</v>
      </c>
      <c r="AI38" s="9">
        <f t="shared" si="2"/>
        <v>-3780</v>
      </c>
      <c r="AJ38" s="9">
        <v>47</v>
      </c>
      <c r="AK38" s="9">
        <v>96</v>
      </c>
      <c r="AL38" s="9">
        <v>1</v>
      </c>
      <c r="AM38" s="7"/>
      <c r="AN38" s="2" t="e">
        <f t="shared" si="3"/>
        <v>#VALUE!</v>
      </c>
      <c r="AO38" s="3" t="e">
        <f t="shared" si="5"/>
        <v>#VALUE!</v>
      </c>
      <c r="AP38" s="10" t="e">
        <f t="shared" si="6"/>
        <v>#VALUE!</v>
      </c>
    </row>
    <row r="39" spans="1:42" x14ac:dyDescent="0.4">
      <c r="A39" s="11"/>
      <c r="AF39" s="9"/>
      <c r="AG39" s="9"/>
      <c r="AH39" s="9"/>
      <c r="AI39" s="9"/>
      <c r="AJ39" s="9"/>
      <c r="AK39" s="9"/>
      <c r="AL39" s="9"/>
      <c r="AM39" s="9"/>
      <c r="AN39" s="12"/>
      <c r="AO39" s="12"/>
      <c r="AP39" s="13"/>
    </row>
    <row r="44" spans="1:42" x14ac:dyDescent="0.4">
      <c r="J44" s="14" t="s">
        <v>8</v>
      </c>
      <c r="K44" s="14" t="s">
        <v>9</v>
      </c>
      <c r="L44" s="14"/>
      <c r="M44" s="14" t="s">
        <v>36</v>
      </c>
      <c r="N44" s="14" t="s">
        <v>37</v>
      </c>
      <c r="O44" s="15"/>
    </row>
    <row r="45" spans="1:42" x14ac:dyDescent="0.4">
      <c r="J45" s="16" t="str">
        <f t="array" ref="J45:K58">TRANSPOSE(B1:V2)</f>
        <v>arithmetic</v>
      </c>
      <c r="K45" s="17">
        <v>0</v>
      </c>
      <c r="L45" s="18"/>
      <c r="M45" s="19" t="str">
        <f t="array" ref="M45:N47">TRANSPOSE(AF1:AH2)</f>
        <v>L1Access</v>
      </c>
      <c r="N45" s="17">
        <v>0</v>
      </c>
      <c r="O45" s="20"/>
    </row>
    <row r="46" spans="1:42" x14ac:dyDescent="0.4">
      <c r="J46" s="16" t="str">
        <v>mul</v>
      </c>
      <c r="K46" s="17">
        <v>0</v>
      </c>
      <c r="L46" s="18"/>
      <c r="M46" s="19" t="str">
        <v>MemRead</v>
      </c>
      <c r="N46" s="17">
        <v>0</v>
      </c>
      <c r="O46" s="20"/>
    </row>
    <row r="47" spans="1:42" x14ac:dyDescent="0.4">
      <c r="J47" s="16" t="str">
        <v>div</v>
      </c>
      <c r="K47" s="17">
        <v>0</v>
      </c>
      <c r="L47" s="18"/>
      <c r="M47" s="19" t="str">
        <v>MemWrite</v>
      </c>
      <c r="N47" s="17">
        <v>0</v>
      </c>
      <c r="O47" s="20"/>
    </row>
    <row r="48" spans="1:42" x14ac:dyDescent="0.4">
      <c r="J48" s="16" t="str">
        <v>arithmetic_d</v>
      </c>
      <c r="K48" s="17">
        <v>0</v>
      </c>
      <c r="L48" s="17"/>
      <c r="M48" s="14" t="str">
        <f t="array" ref="M48:N48">TRANSPOSE(AL1:AL2)</f>
        <v>Constant</v>
      </c>
      <c r="N48" s="21">
        <v>0</v>
      </c>
      <c r="O48" s="20"/>
    </row>
    <row r="49" spans="10:15" x14ac:dyDescent="0.4">
      <c r="J49" s="16" t="str">
        <v>mul_d</v>
      </c>
      <c r="K49" s="17">
        <v>0</v>
      </c>
      <c r="L49" s="22"/>
      <c r="O49" s="20"/>
    </row>
    <row r="50" spans="10:15" x14ac:dyDescent="0.4">
      <c r="J50" s="16" t="str">
        <v>div_d</v>
      </c>
      <c r="K50" s="17">
        <v>0</v>
      </c>
      <c r="L50" s="22"/>
      <c r="O50" s="20"/>
    </row>
    <row r="51" spans="10:15" x14ac:dyDescent="0.4">
      <c r="J51" s="16" t="str">
        <v>float</v>
      </c>
      <c r="K51" s="17">
        <v>0</v>
      </c>
      <c r="L51" s="22"/>
    </row>
    <row r="52" spans="10:15" x14ac:dyDescent="0.4">
      <c r="J52" s="16" t="str">
        <v>fmul</v>
      </c>
      <c r="K52" s="17">
        <v>0</v>
      </c>
      <c r="L52" s="22"/>
    </row>
    <row r="53" spans="10:15" x14ac:dyDescent="0.4">
      <c r="J53" s="16" t="str">
        <v>fdiv</v>
      </c>
      <c r="K53" s="17">
        <v>0</v>
      </c>
      <c r="L53" s="22"/>
    </row>
    <row r="54" spans="10:15" x14ac:dyDescent="0.4">
      <c r="J54" s="16" t="str">
        <v>float_d</v>
      </c>
      <c r="K54" s="17">
        <v>0</v>
      </c>
      <c r="L54" s="22"/>
    </row>
    <row r="55" spans="10:15" x14ac:dyDescent="0.4">
      <c r="J55" s="16" t="str">
        <v>fmul_d</v>
      </c>
      <c r="K55" s="17">
        <v>0</v>
      </c>
      <c r="L55" s="22"/>
    </row>
    <row r="56" spans="10:15" x14ac:dyDescent="0.4">
      <c r="J56" s="16" t="str">
        <v>fdiv_d</v>
      </c>
      <c r="K56" s="17">
        <v>0</v>
      </c>
      <c r="L56" s="22"/>
    </row>
    <row r="57" spans="10:15" x14ac:dyDescent="0.4">
      <c r="J57" s="16" t="str">
        <v>load</v>
      </c>
      <c r="K57" s="17">
        <v>0</v>
      </c>
      <c r="L57" s="22"/>
    </row>
    <row r="58" spans="10:15" x14ac:dyDescent="0.4">
      <c r="J58" s="16" t="str">
        <v>load_d</v>
      </c>
      <c r="K58" s="17">
        <v>0</v>
      </c>
      <c r="L58" s="22"/>
    </row>
  </sheetData>
  <phoneticPr fontId="18"/>
  <conditionalFormatting sqref="AC3:AC39">
    <cfRule type="cellIs" dxfId="1" priority="9" operator="lessThan">
      <formula>0</formula>
    </cfRule>
    <cfRule type="cellIs" dxfId="0" priority="10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7D064-8BA0-4467-84F9-50898496DB24}">
  <sheetPr codeName="Sheet2"/>
  <dimension ref="A1:AF38"/>
  <sheetViews>
    <sheetView tabSelected="1" zoomScaleNormal="100" workbookViewId="0">
      <selection activeCell="B2" sqref="B2"/>
    </sheetView>
  </sheetViews>
  <sheetFormatPr defaultRowHeight="18.75" x14ac:dyDescent="0.4"/>
  <cols>
    <col min="1" max="1" width="21.125" style="1" customWidth="1"/>
    <col min="2" max="28" width="10.625" style="1" customWidth="1"/>
    <col min="29" max="29" width="4.75" style="1" customWidth="1"/>
    <col min="30" max="30" width="7.5" style="1" customWidth="1"/>
    <col min="31" max="34" width="10.625" style="1" customWidth="1"/>
    <col min="35" max="16384" width="9" style="1"/>
  </cols>
  <sheetData>
    <row r="1" spans="1:32" x14ac:dyDescent="0.4">
      <c r="B1" s="1" t="s">
        <v>0</v>
      </c>
      <c r="C1" s="28" t="s">
        <v>1</v>
      </c>
      <c r="D1" s="28" t="s">
        <v>64</v>
      </c>
      <c r="E1" s="28" t="s">
        <v>40</v>
      </c>
      <c r="F1" s="28" t="s">
        <v>10</v>
      </c>
      <c r="G1" s="28" t="s">
        <v>65</v>
      </c>
      <c r="H1" s="28" t="s">
        <v>41</v>
      </c>
      <c r="I1" s="28" t="s">
        <v>2</v>
      </c>
      <c r="J1" s="28" t="s">
        <v>66</v>
      </c>
      <c r="K1" s="28" t="s">
        <v>38</v>
      </c>
      <c r="L1" s="28" t="s">
        <v>11</v>
      </c>
      <c r="M1" s="28" t="s">
        <v>67</v>
      </c>
      <c r="N1" s="28" t="s">
        <v>39</v>
      </c>
      <c r="O1" s="28" t="s">
        <v>3</v>
      </c>
      <c r="P1" s="28" t="s">
        <v>12</v>
      </c>
      <c r="Q1" s="28" t="s">
        <v>4</v>
      </c>
      <c r="R1" s="34" t="s">
        <v>85</v>
      </c>
      <c r="S1" s="28" t="s">
        <v>5</v>
      </c>
      <c r="T1" s="34" t="s">
        <v>86</v>
      </c>
      <c r="U1" s="28" t="s">
        <v>13</v>
      </c>
      <c r="V1" s="34" t="s">
        <v>87</v>
      </c>
      <c r="W1" s="28" t="s">
        <v>14</v>
      </c>
      <c r="X1" s="34" t="s">
        <v>88</v>
      </c>
      <c r="Y1" s="1" t="s">
        <v>57</v>
      </c>
      <c r="Z1" s="1" t="s">
        <v>58</v>
      </c>
      <c r="AA1" s="1" t="s">
        <v>59</v>
      </c>
      <c r="AB1" s="1" t="s">
        <v>60</v>
      </c>
      <c r="AE1" s="1" t="s">
        <v>61</v>
      </c>
      <c r="AF1" s="1" t="s">
        <v>63</v>
      </c>
    </row>
    <row r="2" spans="1:32" x14ac:dyDescent="0.4">
      <c r="A2" s="30" t="s">
        <v>68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24">
        <v>0</v>
      </c>
      <c r="Z2" s="24">
        <v>0</v>
      </c>
      <c r="AA2" s="24">
        <v>0</v>
      </c>
      <c r="AB2" s="24">
        <v>0</v>
      </c>
      <c r="AC2" s="6"/>
      <c r="AD2" s="1" t="s">
        <v>62</v>
      </c>
      <c r="AE2" s="29">
        <f>SUM(AE3:AE38)</f>
        <v>0</v>
      </c>
    </row>
    <row r="3" spans="1:32" x14ac:dyDescent="0.4">
      <c r="A3" s="30" t="s">
        <v>53</v>
      </c>
      <c r="B3" s="23">
        <f>summary!AM3</f>
        <v>0</v>
      </c>
      <c r="C3">
        <v>0</v>
      </c>
      <c r="D3">
        <v>0</v>
      </c>
      <c r="E3">
        <v>0</v>
      </c>
      <c r="F3">
        <v>22942</v>
      </c>
      <c r="G3">
        <v>0</v>
      </c>
      <c r="H3">
        <v>0</v>
      </c>
      <c r="I3">
        <v>0</v>
      </c>
      <c r="J3">
        <v>300</v>
      </c>
      <c r="K3">
        <v>0</v>
      </c>
      <c r="L3">
        <v>200</v>
      </c>
      <c r="M3">
        <v>100</v>
      </c>
      <c r="N3">
        <v>100</v>
      </c>
      <c r="O3">
        <v>27521</v>
      </c>
      <c r="P3">
        <v>32053</v>
      </c>
      <c r="Q3">
        <v>9114</v>
      </c>
      <c r="R3">
        <v>0</v>
      </c>
      <c r="S3">
        <v>203</v>
      </c>
      <c r="T3">
        <v>0</v>
      </c>
      <c r="U3">
        <v>100</v>
      </c>
      <c r="V3">
        <v>15180</v>
      </c>
      <c r="W3">
        <v>21825</v>
      </c>
      <c r="X3">
        <v>14880</v>
      </c>
      <c r="Y3" s="26">
        <f>summary!AF3</f>
        <v>0</v>
      </c>
      <c r="Z3" s="35">
        <f>summary!AG3</f>
        <v>0</v>
      </c>
      <c r="AA3" s="35">
        <f>summary!AH3</f>
        <v>0</v>
      </c>
      <c r="AB3" s="1">
        <v>1</v>
      </c>
      <c r="AE3" s="1">
        <f>(B3-SUMPRODUCT(C$2:AB$2,C3:AB3))^2</f>
        <v>0</v>
      </c>
      <c r="AF3" s="1" t="e">
        <f>(B3-SUMPRODUCT(C$2:AB$2,C3:AB3))/B3</f>
        <v>#DIV/0!</v>
      </c>
    </row>
    <row r="4" spans="1:32" x14ac:dyDescent="0.4">
      <c r="A4" s="1" t="s">
        <v>17</v>
      </c>
      <c r="B4" s="23">
        <f>summary!AM4</f>
        <v>0</v>
      </c>
      <c r="C4">
        <v>0</v>
      </c>
      <c r="D4">
        <v>0</v>
      </c>
      <c r="E4">
        <v>0</v>
      </c>
      <c r="F4">
        <v>2002000</v>
      </c>
      <c r="G4">
        <v>0</v>
      </c>
      <c r="H4">
        <v>0</v>
      </c>
      <c r="I4">
        <v>0</v>
      </c>
      <c r="J4">
        <v>1000000</v>
      </c>
      <c r="K4">
        <v>0</v>
      </c>
      <c r="L4">
        <v>5000000</v>
      </c>
      <c r="M4">
        <v>2000000</v>
      </c>
      <c r="N4">
        <v>0</v>
      </c>
      <c r="O4">
        <v>0</v>
      </c>
      <c r="P4">
        <v>6002000</v>
      </c>
      <c r="Q4">
        <v>3001000</v>
      </c>
      <c r="R4">
        <v>0</v>
      </c>
      <c r="S4">
        <v>1</v>
      </c>
      <c r="T4">
        <v>0</v>
      </c>
      <c r="U4">
        <v>0</v>
      </c>
      <c r="V4">
        <v>2000000</v>
      </c>
      <c r="W4">
        <v>4003000</v>
      </c>
      <c r="X4">
        <v>0</v>
      </c>
      <c r="Y4" s="26">
        <f>summary!AF4</f>
        <v>0</v>
      </c>
      <c r="Z4" s="35">
        <f>summary!AG4</f>
        <v>0</v>
      </c>
      <c r="AA4" s="35">
        <f>summary!AH4</f>
        <v>0</v>
      </c>
      <c r="AB4" s="1">
        <v>1</v>
      </c>
      <c r="AE4" s="1">
        <f t="shared" ref="AE4:AE38" si="0">(B4-SUMPRODUCT(C$2:AB$2,C4:AB4))^2</f>
        <v>0</v>
      </c>
      <c r="AF4" s="1" t="e">
        <f t="shared" ref="AF4:AF38" si="1">(B4-SUMPRODUCT(C$2:AB$2,C4:AB4))/B4</f>
        <v>#DIV/0!</v>
      </c>
    </row>
    <row r="5" spans="1:32" x14ac:dyDescent="0.4">
      <c r="A5" s="1" t="s">
        <v>20</v>
      </c>
      <c r="B5" s="23">
        <f>summary!AM5</f>
        <v>0</v>
      </c>
      <c r="C5">
        <v>4000</v>
      </c>
      <c r="D5">
        <v>4000</v>
      </c>
      <c r="E5">
        <v>0</v>
      </c>
      <c r="F5">
        <v>20000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10000</v>
      </c>
      <c r="P5">
        <v>30000</v>
      </c>
      <c r="Q5">
        <v>16002</v>
      </c>
      <c r="R5">
        <v>0</v>
      </c>
      <c r="S5">
        <v>10001</v>
      </c>
      <c r="T5">
        <v>2000</v>
      </c>
      <c r="U5">
        <v>0</v>
      </c>
      <c r="V5">
        <v>0</v>
      </c>
      <c r="W5">
        <v>28000</v>
      </c>
      <c r="X5">
        <v>4000</v>
      </c>
      <c r="Y5" s="26">
        <f>summary!AF5</f>
        <v>0</v>
      </c>
      <c r="Z5" s="35">
        <f>summary!AG5</f>
        <v>0</v>
      </c>
      <c r="AA5" s="35">
        <f>summary!AH5</f>
        <v>0</v>
      </c>
      <c r="AB5" s="1">
        <v>1</v>
      </c>
      <c r="AE5" s="1">
        <f t="shared" si="0"/>
        <v>0</v>
      </c>
      <c r="AF5" s="1" t="e">
        <f t="shared" si="1"/>
        <v>#DIV/0!</v>
      </c>
    </row>
    <row r="6" spans="1:32" x14ac:dyDescent="0.4">
      <c r="A6" s="1" t="s">
        <v>54</v>
      </c>
      <c r="B6" s="23">
        <f>summary!AM6</f>
        <v>0</v>
      </c>
      <c r="C6">
        <v>0</v>
      </c>
      <c r="D6">
        <v>0</v>
      </c>
      <c r="E6">
        <v>0</v>
      </c>
      <c r="F6">
        <v>3041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3000</v>
      </c>
      <c r="P6">
        <v>8051</v>
      </c>
      <c r="Q6">
        <v>6042</v>
      </c>
      <c r="R6">
        <v>0</v>
      </c>
      <c r="S6">
        <v>2001</v>
      </c>
      <c r="T6">
        <v>0</v>
      </c>
      <c r="U6">
        <v>0</v>
      </c>
      <c r="V6">
        <v>0</v>
      </c>
      <c r="W6">
        <v>3052</v>
      </c>
      <c r="X6">
        <v>0</v>
      </c>
      <c r="Y6" s="26">
        <f>summary!AF6</f>
        <v>0</v>
      </c>
      <c r="Z6" s="35">
        <f>summary!AG6</f>
        <v>0</v>
      </c>
      <c r="AA6" s="35">
        <f>summary!AH6</f>
        <v>0</v>
      </c>
      <c r="AB6" s="1">
        <v>1</v>
      </c>
      <c r="AE6" s="1">
        <f t="shared" si="0"/>
        <v>0</v>
      </c>
      <c r="AF6" s="1" t="e">
        <f t="shared" si="1"/>
        <v>#DIV/0!</v>
      </c>
    </row>
    <row r="7" spans="1:32" x14ac:dyDescent="0.4">
      <c r="A7" s="1" t="s">
        <v>25</v>
      </c>
      <c r="B7" s="23">
        <f>summary!AM7</f>
        <v>0</v>
      </c>
      <c r="C7">
        <v>0</v>
      </c>
      <c r="D7">
        <v>0</v>
      </c>
      <c r="E7">
        <v>0</v>
      </c>
      <c r="F7">
        <v>3031</v>
      </c>
      <c r="G7">
        <v>0</v>
      </c>
      <c r="H7">
        <v>0</v>
      </c>
      <c r="I7">
        <v>0</v>
      </c>
      <c r="J7">
        <v>0</v>
      </c>
      <c r="K7">
        <v>0</v>
      </c>
      <c r="L7">
        <v>2000</v>
      </c>
      <c r="M7">
        <v>1000</v>
      </c>
      <c r="N7">
        <v>0</v>
      </c>
      <c r="O7">
        <v>3000</v>
      </c>
      <c r="P7">
        <v>9031</v>
      </c>
      <c r="Q7">
        <v>6042</v>
      </c>
      <c r="R7">
        <v>0</v>
      </c>
      <c r="S7">
        <v>2001</v>
      </c>
      <c r="T7">
        <v>0</v>
      </c>
      <c r="U7">
        <v>1000</v>
      </c>
      <c r="V7">
        <v>0</v>
      </c>
      <c r="W7">
        <v>3052</v>
      </c>
      <c r="X7">
        <v>0</v>
      </c>
      <c r="Y7" s="26">
        <f>summary!AF7</f>
        <v>0</v>
      </c>
      <c r="Z7" s="35">
        <f>summary!AG7</f>
        <v>0</v>
      </c>
      <c r="AA7" s="35">
        <f>summary!AH7</f>
        <v>0</v>
      </c>
      <c r="AB7" s="1">
        <v>1</v>
      </c>
      <c r="AE7" s="1">
        <f t="shared" si="0"/>
        <v>0</v>
      </c>
      <c r="AF7" s="1" t="e">
        <f t="shared" si="1"/>
        <v>#DIV/0!</v>
      </c>
    </row>
    <row r="8" spans="1:32" x14ac:dyDescent="0.4">
      <c r="A8" s="1" t="s">
        <v>28</v>
      </c>
      <c r="B8" s="23">
        <f>summary!AM8</f>
        <v>0</v>
      </c>
      <c r="C8">
        <v>0</v>
      </c>
      <c r="D8">
        <v>0</v>
      </c>
      <c r="E8">
        <v>0</v>
      </c>
      <c r="F8">
        <v>2000</v>
      </c>
      <c r="G8">
        <v>0</v>
      </c>
      <c r="H8">
        <v>0</v>
      </c>
      <c r="I8">
        <v>1000</v>
      </c>
      <c r="J8">
        <v>0</v>
      </c>
      <c r="K8">
        <v>0</v>
      </c>
      <c r="L8">
        <v>3001</v>
      </c>
      <c r="M8">
        <v>0</v>
      </c>
      <c r="N8">
        <v>1000</v>
      </c>
      <c r="O8">
        <v>1000</v>
      </c>
      <c r="P8">
        <v>5001</v>
      </c>
      <c r="Q8">
        <v>3002</v>
      </c>
      <c r="R8">
        <v>0</v>
      </c>
      <c r="S8">
        <v>1</v>
      </c>
      <c r="T8">
        <v>0</v>
      </c>
      <c r="U8">
        <v>0</v>
      </c>
      <c r="V8">
        <v>1000</v>
      </c>
      <c r="W8">
        <v>3001</v>
      </c>
      <c r="X8">
        <v>0</v>
      </c>
      <c r="Y8" s="26">
        <f>summary!AF8</f>
        <v>0</v>
      </c>
      <c r="Z8" s="35">
        <f>summary!AG8</f>
        <v>0</v>
      </c>
      <c r="AA8" s="35">
        <f>summary!AH8</f>
        <v>0</v>
      </c>
      <c r="AB8" s="1">
        <v>1</v>
      </c>
      <c r="AE8" s="1">
        <f t="shared" si="0"/>
        <v>0</v>
      </c>
      <c r="AF8" s="1" t="e">
        <f t="shared" si="1"/>
        <v>#DIV/0!</v>
      </c>
    </row>
    <row r="9" spans="1:32" x14ac:dyDescent="0.4">
      <c r="A9" s="1" t="s">
        <v>55</v>
      </c>
      <c r="B9" s="23">
        <f>summary!AM9</f>
        <v>0</v>
      </c>
      <c r="C9">
        <v>0</v>
      </c>
      <c r="D9">
        <v>0</v>
      </c>
      <c r="E9">
        <v>0</v>
      </c>
      <c r="F9">
        <v>2000</v>
      </c>
      <c r="G9">
        <v>0</v>
      </c>
      <c r="H9">
        <v>0</v>
      </c>
      <c r="I9">
        <v>1000</v>
      </c>
      <c r="J9">
        <v>0</v>
      </c>
      <c r="K9">
        <v>0</v>
      </c>
      <c r="L9">
        <v>8000</v>
      </c>
      <c r="M9">
        <v>0</v>
      </c>
      <c r="N9">
        <v>0</v>
      </c>
      <c r="O9">
        <v>5000</v>
      </c>
      <c r="P9">
        <v>11000</v>
      </c>
      <c r="Q9">
        <v>9007</v>
      </c>
      <c r="R9">
        <v>0</v>
      </c>
      <c r="S9">
        <v>1</v>
      </c>
      <c r="T9">
        <v>0</v>
      </c>
      <c r="U9">
        <v>0</v>
      </c>
      <c r="V9">
        <v>8000</v>
      </c>
      <c r="W9">
        <v>3000</v>
      </c>
      <c r="X9">
        <v>0</v>
      </c>
      <c r="Y9" s="26">
        <f>summary!AF9</f>
        <v>0</v>
      </c>
      <c r="Z9" s="35">
        <f>summary!AG9</f>
        <v>0</v>
      </c>
      <c r="AA9" s="35">
        <f>summary!AH9</f>
        <v>0</v>
      </c>
      <c r="AB9" s="1">
        <v>1</v>
      </c>
      <c r="AE9" s="1">
        <f t="shared" si="0"/>
        <v>0</v>
      </c>
      <c r="AF9" s="1" t="e">
        <f t="shared" si="1"/>
        <v>#DIV/0!</v>
      </c>
    </row>
    <row r="10" spans="1:32" x14ac:dyDescent="0.4">
      <c r="A10" s="1" t="s">
        <v>31</v>
      </c>
      <c r="B10" s="23">
        <f>summary!AM10</f>
        <v>0</v>
      </c>
      <c r="C10">
        <v>5160</v>
      </c>
      <c r="D10">
        <v>0</v>
      </c>
      <c r="E10">
        <v>0</v>
      </c>
      <c r="F10">
        <v>7741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15481</v>
      </c>
      <c r="Q10">
        <v>10322</v>
      </c>
      <c r="R10">
        <v>0</v>
      </c>
      <c r="S10">
        <v>7741</v>
      </c>
      <c r="T10">
        <v>2581</v>
      </c>
      <c r="U10">
        <v>0</v>
      </c>
      <c r="V10">
        <v>0</v>
      </c>
      <c r="W10">
        <v>10321</v>
      </c>
      <c r="X10">
        <v>0</v>
      </c>
      <c r="Y10" s="26">
        <f>summary!AF10</f>
        <v>0</v>
      </c>
      <c r="Z10" s="35">
        <f>summary!AG10</f>
        <v>0</v>
      </c>
      <c r="AA10" s="35">
        <f>summary!AH10</f>
        <v>0</v>
      </c>
      <c r="AB10" s="1">
        <v>1</v>
      </c>
      <c r="AE10" s="1">
        <f t="shared" si="0"/>
        <v>0</v>
      </c>
      <c r="AF10" s="1" t="e">
        <f t="shared" si="1"/>
        <v>#DIV/0!</v>
      </c>
    </row>
    <row r="11" spans="1:32" x14ac:dyDescent="0.4">
      <c r="A11" s="1" t="s">
        <v>33</v>
      </c>
      <c r="B11" s="23">
        <f>summary!AM11</f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5160</v>
      </c>
      <c r="J11">
        <v>0</v>
      </c>
      <c r="K11">
        <v>0</v>
      </c>
      <c r="L11">
        <v>7741</v>
      </c>
      <c r="M11">
        <v>0</v>
      </c>
      <c r="N11">
        <v>0</v>
      </c>
      <c r="O11">
        <v>0</v>
      </c>
      <c r="P11">
        <v>15481</v>
      </c>
      <c r="Q11">
        <v>10322</v>
      </c>
      <c r="R11">
        <v>0</v>
      </c>
      <c r="S11">
        <v>7741</v>
      </c>
      <c r="T11">
        <v>2581</v>
      </c>
      <c r="U11">
        <v>0</v>
      </c>
      <c r="V11">
        <v>0</v>
      </c>
      <c r="W11">
        <v>10321</v>
      </c>
      <c r="X11">
        <v>0</v>
      </c>
      <c r="Y11" s="26">
        <f>summary!AF11</f>
        <v>0</v>
      </c>
      <c r="Z11" s="35">
        <f>summary!AG11</f>
        <v>0</v>
      </c>
      <c r="AA11" s="35">
        <f>summary!AH11</f>
        <v>0</v>
      </c>
      <c r="AB11" s="1">
        <v>1</v>
      </c>
      <c r="AE11" s="1">
        <f t="shared" si="0"/>
        <v>0</v>
      </c>
      <c r="AF11" s="1" t="e">
        <f t="shared" si="1"/>
        <v>#DIV/0!</v>
      </c>
    </row>
    <row r="12" spans="1:32" x14ac:dyDescent="0.4">
      <c r="A12" s="1" t="s">
        <v>56</v>
      </c>
      <c r="B12" s="23">
        <f>summary!AM12</f>
        <v>0</v>
      </c>
      <c r="C12">
        <v>0</v>
      </c>
      <c r="D12">
        <v>0</v>
      </c>
      <c r="E12">
        <v>0</v>
      </c>
      <c r="F12">
        <v>2000</v>
      </c>
      <c r="G12">
        <v>0</v>
      </c>
      <c r="H12">
        <v>0</v>
      </c>
      <c r="I12">
        <v>1000</v>
      </c>
      <c r="J12">
        <v>0</v>
      </c>
      <c r="K12">
        <v>0</v>
      </c>
      <c r="L12">
        <v>2001</v>
      </c>
      <c r="M12">
        <v>1000</v>
      </c>
      <c r="N12">
        <v>1000</v>
      </c>
      <c r="O12">
        <v>1000</v>
      </c>
      <c r="P12">
        <v>5001</v>
      </c>
      <c r="Q12">
        <v>3002</v>
      </c>
      <c r="R12">
        <v>0</v>
      </c>
      <c r="S12">
        <v>1</v>
      </c>
      <c r="T12">
        <v>0</v>
      </c>
      <c r="U12">
        <v>0</v>
      </c>
      <c r="V12">
        <v>1000</v>
      </c>
      <c r="W12">
        <v>3001</v>
      </c>
      <c r="X12">
        <v>0</v>
      </c>
      <c r="Y12" s="26">
        <f>summary!AF12</f>
        <v>0</v>
      </c>
      <c r="Z12" s="35">
        <f>summary!AG12</f>
        <v>0</v>
      </c>
      <c r="AA12" s="35">
        <f>summary!AH12</f>
        <v>0</v>
      </c>
      <c r="AB12" s="1">
        <v>1</v>
      </c>
      <c r="AE12" s="1">
        <f t="shared" si="0"/>
        <v>0</v>
      </c>
      <c r="AF12" s="1" t="e">
        <f t="shared" si="1"/>
        <v>#DIV/0!</v>
      </c>
    </row>
    <row r="13" spans="1:32" x14ac:dyDescent="0.4">
      <c r="A13" s="1" t="s">
        <v>15</v>
      </c>
      <c r="B13" s="23">
        <f>summary!AM13</f>
        <v>0</v>
      </c>
      <c r="C13">
        <v>105</v>
      </c>
      <c r="D13">
        <v>0</v>
      </c>
      <c r="E13">
        <v>0</v>
      </c>
      <c r="F13">
        <v>631</v>
      </c>
      <c r="G13">
        <v>0</v>
      </c>
      <c r="H13">
        <v>0</v>
      </c>
      <c r="I13">
        <v>0</v>
      </c>
      <c r="J13">
        <v>100</v>
      </c>
      <c r="K13">
        <v>100</v>
      </c>
      <c r="L13">
        <v>110</v>
      </c>
      <c r="M13">
        <v>0</v>
      </c>
      <c r="N13">
        <v>0</v>
      </c>
      <c r="O13">
        <v>280</v>
      </c>
      <c r="P13">
        <v>1066</v>
      </c>
      <c r="Q13">
        <v>567</v>
      </c>
      <c r="R13">
        <v>0</v>
      </c>
      <c r="S13">
        <v>336</v>
      </c>
      <c r="T13">
        <v>105</v>
      </c>
      <c r="U13">
        <v>10</v>
      </c>
      <c r="V13">
        <v>110</v>
      </c>
      <c r="W13">
        <v>742</v>
      </c>
      <c r="X13">
        <v>0</v>
      </c>
      <c r="Y13" s="26">
        <f>summary!AF13</f>
        <v>0</v>
      </c>
      <c r="Z13" s="35">
        <f>summary!AG13</f>
        <v>0</v>
      </c>
      <c r="AA13" s="35">
        <f>summary!AH13</f>
        <v>0</v>
      </c>
      <c r="AB13" s="1">
        <v>1</v>
      </c>
      <c r="AE13" s="1">
        <f t="shared" si="0"/>
        <v>0</v>
      </c>
      <c r="AF13" s="1" t="e">
        <f t="shared" si="1"/>
        <v>#DIV/0!</v>
      </c>
    </row>
    <row r="14" spans="1:32" x14ac:dyDescent="0.4">
      <c r="A14" s="1" t="s">
        <v>18</v>
      </c>
      <c r="B14" s="23">
        <f>summary!AM14</f>
        <v>0</v>
      </c>
      <c r="C14">
        <v>0</v>
      </c>
      <c r="D14">
        <v>0</v>
      </c>
      <c r="E14">
        <v>0</v>
      </c>
      <c r="F14">
        <v>1109</v>
      </c>
      <c r="G14">
        <v>0</v>
      </c>
      <c r="H14">
        <v>0</v>
      </c>
      <c r="I14">
        <v>375</v>
      </c>
      <c r="J14">
        <v>0</v>
      </c>
      <c r="K14">
        <v>55</v>
      </c>
      <c r="L14">
        <v>144</v>
      </c>
      <c r="M14">
        <v>375</v>
      </c>
      <c r="N14">
        <v>0</v>
      </c>
      <c r="O14">
        <v>967</v>
      </c>
      <c r="P14">
        <v>5158</v>
      </c>
      <c r="Q14">
        <v>1390</v>
      </c>
      <c r="R14">
        <v>0</v>
      </c>
      <c r="S14">
        <v>119</v>
      </c>
      <c r="T14">
        <v>28</v>
      </c>
      <c r="U14">
        <v>0</v>
      </c>
      <c r="V14">
        <v>3289</v>
      </c>
      <c r="W14">
        <v>3107</v>
      </c>
      <c r="X14">
        <v>1989</v>
      </c>
      <c r="Y14" s="26">
        <f>summary!AF14</f>
        <v>0</v>
      </c>
      <c r="Z14" s="35">
        <f>summary!AG14</f>
        <v>0</v>
      </c>
      <c r="AA14" s="35">
        <f>summary!AH14</f>
        <v>0</v>
      </c>
      <c r="AB14" s="1">
        <v>1</v>
      </c>
      <c r="AE14" s="1">
        <f t="shared" si="0"/>
        <v>0</v>
      </c>
      <c r="AF14" s="1" t="e">
        <f t="shared" si="1"/>
        <v>#DIV/0!</v>
      </c>
    </row>
    <row r="15" spans="1:32" x14ac:dyDescent="0.4">
      <c r="A15" s="1" t="s">
        <v>21</v>
      </c>
      <c r="B15" s="23">
        <f>summary!AM15</f>
        <v>0</v>
      </c>
      <c r="C15">
        <v>1400</v>
      </c>
      <c r="D15">
        <v>0</v>
      </c>
      <c r="E15">
        <v>0</v>
      </c>
      <c r="F15">
        <v>2401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4300</v>
      </c>
      <c r="P15">
        <v>3801</v>
      </c>
      <c r="Q15">
        <v>2302</v>
      </c>
      <c r="R15">
        <v>0</v>
      </c>
      <c r="S15">
        <v>2201</v>
      </c>
      <c r="T15">
        <v>0</v>
      </c>
      <c r="U15">
        <v>0</v>
      </c>
      <c r="V15">
        <v>0</v>
      </c>
      <c r="W15">
        <v>4002</v>
      </c>
      <c r="X15">
        <v>0</v>
      </c>
      <c r="Y15" s="26">
        <f>summary!AF15</f>
        <v>0</v>
      </c>
      <c r="Z15" s="35">
        <f>summary!AG15</f>
        <v>0</v>
      </c>
      <c r="AA15" s="35">
        <f>summary!AH15</f>
        <v>0</v>
      </c>
      <c r="AB15" s="1">
        <v>1</v>
      </c>
      <c r="AE15" s="1">
        <f t="shared" si="0"/>
        <v>0</v>
      </c>
      <c r="AF15" s="1" t="e">
        <f t="shared" si="1"/>
        <v>#DIV/0!</v>
      </c>
    </row>
    <row r="16" spans="1:32" x14ac:dyDescent="0.4">
      <c r="A16" s="1" t="s">
        <v>23</v>
      </c>
      <c r="B16" s="23">
        <f>summary!AM16</f>
        <v>0</v>
      </c>
      <c r="C16">
        <v>99</v>
      </c>
      <c r="D16">
        <v>0</v>
      </c>
      <c r="E16">
        <v>0</v>
      </c>
      <c r="F16">
        <v>6140</v>
      </c>
      <c r="G16">
        <v>0</v>
      </c>
      <c r="H16">
        <v>99</v>
      </c>
      <c r="I16">
        <v>0</v>
      </c>
      <c r="J16">
        <v>300</v>
      </c>
      <c r="K16">
        <v>0</v>
      </c>
      <c r="L16">
        <v>200</v>
      </c>
      <c r="M16">
        <v>100</v>
      </c>
      <c r="N16">
        <v>100</v>
      </c>
      <c r="O16">
        <v>7008</v>
      </c>
      <c r="P16">
        <v>10036</v>
      </c>
      <c r="Q16">
        <v>4455</v>
      </c>
      <c r="R16">
        <v>0</v>
      </c>
      <c r="S16">
        <v>499</v>
      </c>
      <c r="T16">
        <v>0</v>
      </c>
      <c r="U16">
        <v>100</v>
      </c>
      <c r="V16">
        <v>4072</v>
      </c>
      <c r="W16">
        <v>8699</v>
      </c>
      <c r="X16">
        <v>3772</v>
      </c>
      <c r="Y16" s="26">
        <f>summary!AF16</f>
        <v>0</v>
      </c>
      <c r="Z16" s="35">
        <f>summary!AG16</f>
        <v>0</v>
      </c>
      <c r="AA16" s="35">
        <f>summary!AH16</f>
        <v>0</v>
      </c>
      <c r="AB16" s="1">
        <v>1</v>
      </c>
      <c r="AE16" s="1">
        <f t="shared" si="0"/>
        <v>0</v>
      </c>
      <c r="AF16" s="1" t="e">
        <f t="shared" si="1"/>
        <v>#DIV/0!</v>
      </c>
    </row>
    <row r="17" spans="1:32" x14ac:dyDescent="0.4">
      <c r="A17" s="1" t="s">
        <v>26</v>
      </c>
      <c r="B17" s="23">
        <f>summary!AM17</f>
        <v>0</v>
      </c>
      <c r="C17">
        <v>0</v>
      </c>
      <c r="D17">
        <v>0</v>
      </c>
      <c r="E17">
        <v>0</v>
      </c>
      <c r="F17">
        <v>631</v>
      </c>
      <c r="G17">
        <v>300</v>
      </c>
      <c r="H17">
        <v>0</v>
      </c>
      <c r="I17">
        <v>0</v>
      </c>
      <c r="J17">
        <v>0</v>
      </c>
      <c r="K17">
        <v>300</v>
      </c>
      <c r="L17">
        <v>310</v>
      </c>
      <c r="M17">
        <v>0</v>
      </c>
      <c r="N17">
        <v>0</v>
      </c>
      <c r="O17">
        <v>610</v>
      </c>
      <c r="P17">
        <v>1541</v>
      </c>
      <c r="Q17">
        <v>952</v>
      </c>
      <c r="R17">
        <v>0</v>
      </c>
      <c r="S17">
        <v>1</v>
      </c>
      <c r="T17">
        <v>0</v>
      </c>
      <c r="U17">
        <v>0</v>
      </c>
      <c r="V17">
        <v>300</v>
      </c>
      <c r="W17">
        <v>962</v>
      </c>
      <c r="X17">
        <v>0</v>
      </c>
      <c r="Y17" s="26">
        <f>summary!AF17</f>
        <v>0</v>
      </c>
      <c r="Z17" s="35">
        <f>summary!AG17</f>
        <v>0</v>
      </c>
      <c r="AA17" s="35">
        <f>summary!AH17</f>
        <v>0</v>
      </c>
      <c r="AB17" s="1">
        <v>1</v>
      </c>
      <c r="AE17" s="1">
        <f t="shared" si="0"/>
        <v>0</v>
      </c>
      <c r="AF17" s="1" t="e">
        <f t="shared" si="1"/>
        <v>#DIV/0!</v>
      </c>
    </row>
    <row r="18" spans="1:32" x14ac:dyDescent="0.4">
      <c r="A18" s="1" t="s">
        <v>29</v>
      </c>
      <c r="B18" s="23">
        <f>summary!AM18</f>
        <v>0</v>
      </c>
      <c r="C18">
        <v>70200</v>
      </c>
      <c r="D18">
        <v>296700</v>
      </c>
      <c r="E18">
        <v>0</v>
      </c>
      <c r="F18">
        <v>1982131</v>
      </c>
      <c r="G18">
        <v>389300</v>
      </c>
      <c r="H18">
        <v>170100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911500</v>
      </c>
      <c r="P18">
        <v>2385091</v>
      </c>
      <c r="Q18">
        <v>1154762</v>
      </c>
      <c r="R18">
        <v>0</v>
      </c>
      <c r="S18">
        <v>21052</v>
      </c>
      <c r="T18">
        <v>56700</v>
      </c>
      <c r="U18">
        <v>0</v>
      </c>
      <c r="V18">
        <v>537210</v>
      </c>
      <c r="W18">
        <v>2355401</v>
      </c>
      <c r="X18">
        <v>537210</v>
      </c>
      <c r="Y18" s="26">
        <f>summary!AF18</f>
        <v>0</v>
      </c>
      <c r="Z18" s="35">
        <f>summary!AG18</f>
        <v>0</v>
      </c>
      <c r="AA18" s="35">
        <f>summary!AH18</f>
        <v>0</v>
      </c>
      <c r="AB18" s="1">
        <v>1</v>
      </c>
      <c r="AE18" s="1">
        <f t="shared" si="0"/>
        <v>0</v>
      </c>
      <c r="AF18" s="1" t="e">
        <f t="shared" si="1"/>
        <v>#DIV/0!</v>
      </c>
    </row>
    <row r="19" spans="1:32" x14ac:dyDescent="0.4">
      <c r="A19" s="1" t="s">
        <v>30</v>
      </c>
      <c r="B19" s="23">
        <f>summary!AM19</f>
        <v>0</v>
      </c>
      <c r="C19">
        <v>0</v>
      </c>
      <c r="D19">
        <v>0</v>
      </c>
      <c r="E19">
        <v>0</v>
      </c>
      <c r="F19">
        <v>2002051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1004052</v>
      </c>
      <c r="P19">
        <v>1504054</v>
      </c>
      <c r="Q19">
        <v>507058</v>
      </c>
      <c r="R19">
        <v>0</v>
      </c>
      <c r="S19">
        <v>1</v>
      </c>
      <c r="T19">
        <v>0</v>
      </c>
      <c r="U19">
        <v>0</v>
      </c>
      <c r="V19">
        <v>3</v>
      </c>
      <c r="W19">
        <v>2004051</v>
      </c>
      <c r="X19">
        <v>3</v>
      </c>
      <c r="Y19" s="26">
        <f>summary!AF19</f>
        <v>0</v>
      </c>
      <c r="Z19" s="35">
        <f>summary!AG19</f>
        <v>0</v>
      </c>
      <c r="AA19" s="35">
        <f>summary!AH19</f>
        <v>0</v>
      </c>
      <c r="AB19" s="1">
        <v>1</v>
      </c>
      <c r="AE19" s="1">
        <f t="shared" si="0"/>
        <v>0</v>
      </c>
      <c r="AF19" s="1" t="e">
        <f t="shared" si="1"/>
        <v>#DIV/0!</v>
      </c>
    </row>
    <row r="20" spans="1:32" x14ac:dyDescent="0.4">
      <c r="A20" s="1" t="s">
        <v>32</v>
      </c>
      <c r="B20" s="23">
        <f>summary!AM20</f>
        <v>0</v>
      </c>
      <c r="C20">
        <v>0</v>
      </c>
      <c r="D20">
        <v>0</v>
      </c>
      <c r="E20">
        <v>0</v>
      </c>
      <c r="F20">
        <v>1995002</v>
      </c>
      <c r="G20">
        <v>0</v>
      </c>
      <c r="H20">
        <v>0</v>
      </c>
      <c r="I20">
        <v>0</v>
      </c>
      <c r="J20">
        <v>0</v>
      </c>
      <c r="K20">
        <v>0</v>
      </c>
      <c r="L20">
        <v>7049</v>
      </c>
      <c r="M20">
        <v>0</v>
      </c>
      <c r="N20">
        <v>0</v>
      </c>
      <c r="O20">
        <v>997000</v>
      </c>
      <c r="P20">
        <v>1511106</v>
      </c>
      <c r="Q20">
        <v>507058</v>
      </c>
      <c r="R20">
        <v>0</v>
      </c>
      <c r="S20">
        <v>1</v>
      </c>
      <c r="T20">
        <v>0</v>
      </c>
      <c r="U20">
        <v>7052</v>
      </c>
      <c r="V20">
        <v>3</v>
      </c>
      <c r="W20">
        <v>2004051</v>
      </c>
      <c r="X20">
        <v>3</v>
      </c>
      <c r="Y20" s="26">
        <f>summary!AF20</f>
        <v>0</v>
      </c>
      <c r="Z20" s="35">
        <f>summary!AG20</f>
        <v>0</v>
      </c>
      <c r="AA20" s="35">
        <f>summary!AH20</f>
        <v>0</v>
      </c>
      <c r="AB20" s="1">
        <v>1</v>
      </c>
      <c r="AE20" s="1">
        <f t="shared" si="0"/>
        <v>0</v>
      </c>
      <c r="AF20" s="1" t="e">
        <f t="shared" si="1"/>
        <v>#DIV/0!</v>
      </c>
    </row>
    <row r="21" spans="1:32" x14ac:dyDescent="0.4">
      <c r="A21" s="1" t="s">
        <v>34</v>
      </c>
      <c r="B21" s="23">
        <f>summary!AM21</f>
        <v>0</v>
      </c>
      <c r="C21">
        <v>0</v>
      </c>
      <c r="D21">
        <v>0</v>
      </c>
      <c r="E21">
        <v>0</v>
      </c>
      <c r="F21">
        <v>315026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157098</v>
      </c>
      <c r="P21">
        <v>237026</v>
      </c>
      <c r="Q21">
        <v>82759</v>
      </c>
      <c r="R21">
        <v>0</v>
      </c>
      <c r="S21">
        <v>999</v>
      </c>
      <c r="T21">
        <v>998</v>
      </c>
      <c r="U21">
        <v>0</v>
      </c>
      <c r="V21">
        <v>0</v>
      </c>
      <c r="W21">
        <v>318853</v>
      </c>
      <c r="X21">
        <v>0</v>
      </c>
      <c r="Y21" s="26">
        <f>summary!AF21</f>
        <v>0</v>
      </c>
      <c r="Z21" s="35">
        <f>summary!AG21</f>
        <v>0</v>
      </c>
      <c r="AA21" s="35">
        <f>summary!AH21</f>
        <v>0</v>
      </c>
      <c r="AB21" s="1">
        <v>1</v>
      </c>
      <c r="AE21" s="1">
        <f t="shared" si="0"/>
        <v>0</v>
      </c>
      <c r="AF21" s="1" t="e">
        <f t="shared" si="1"/>
        <v>#DIV/0!</v>
      </c>
    </row>
    <row r="22" spans="1:32" x14ac:dyDescent="0.4">
      <c r="A22" s="1" t="s">
        <v>35</v>
      </c>
      <c r="B22" s="23">
        <f>summary!AM22</f>
        <v>0</v>
      </c>
      <c r="C22">
        <v>173</v>
      </c>
      <c r="D22">
        <v>0</v>
      </c>
      <c r="E22">
        <v>0</v>
      </c>
      <c r="F22">
        <v>2499</v>
      </c>
      <c r="G22">
        <v>0</v>
      </c>
      <c r="H22">
        <v>87</v>
      </c>
      <c r="I22">
        <v>0</v>
      </c>
      <c r="J22">
        <v>300</v>
      </c>
      <c r="K22">
        <v>0</v>
      </c>
      <c r="L22">
        <v>200</v>
      </c>
      <c r="M22">
        <v>100</v>
      </c>
      <c r="N22">
        <v>100</v>
      </c>
      <c r="O22">
        <v>3944</v>
      </c>
      <c r="P22">
        <v>4958</v>
      </c>
      <c r="Q22">
        <v>2635</v>
      </c>
      <c r="R22">
        <v>0</v>
      </c>
      <c r="S22">
        <v>661</v>
      </c>
      <c r="T22">
        <v>0</v>
      </c>
      <c r="U22">
        <v>100</v>
      </c>
      <c r="V22">
        <v>1956</v>
      </c>
      <c r="W22">
        <v>4031</v>
      </c>
      <c r="X22">
        <v>1656</v>
      </c>
      <c r="Y22" s="26">
        <f>summary!AF22</f>
        <v>0</v>
      </c>
      <c r="Z22" s="35">
        <f>summary!AG22</f>
        <v>0</v>
      </c>
      <c r="AA22" s="35">
        <f>summary!AH22</f>
        <v>0</v>
      </c>
      <c r="AB22" s="1">
        <v>1</v>
      </c>
      <c r="AE22" s="1">
        <f t="shared" si="0"/>
        <v>0</v>
      </c>
      <c r="AF22" s="1" t="e">
        <f t="shared" si="1"/>
        <v>#DIV/0!</v>
      </c>
    </row>
    <row r="23" spans="1:32" x14ac:dyDescent="0.4">
      <c r="A23" s="1" t="s">
        <v>16</v>
      </c>
      <c r="B23" s="23">
        <f>summary!AM23</f>
        <v>0</v>
      </c>
      <c r="C23">
        <v>1000</v>
      </c>
      <c r="D23">
        <v>0</v>
      </c>
      <c r="E23">
        <v>0</v>
      </c>
      <c r="F23">
        <v>2401</v>
      </c>
      <c r="G23">
        <v>2000</v>
      </c>
      <c r="H23">
        <v>1000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1000</v>
      </c>
      <c r="P23">
        <v>5401</v>
      </c>
      <c r="Q23">
        <v>4502</v>
      </c>
      <c r="R23">
        <v>0</v>
      </c>
      <c r="S23">
        <v>1</v>
      </c>
      <c r="T23">
        <v>0</v>
      </c>
      <c r="U23">
        <v>0</v>
      </c>
      <c r="V23">
        <v>0</v>
      </c>
      <c r="W23">
        <v>3702</v>
      </c>
      <c r="X23">
        <v>0</v>
      </c>
      <c r="Y23" s="26">
        <f>summary!AF23</f>
        <v>0</v>
      </c>
      <c r="Z23" s="35">
        <f>summary!AG23</f>
        <v>0</v>
      </c>
      <c r="AA23" s="35">
        <f>summary!AH23</f>
        <v>0</v>
      </c>
      <c r="AB23" s="1">
        <v>1</v>
      </c>
      <c r="AE23" s="1">
        <f t="shared" si="0"/>
        <v>0</v>
      </c>
      <c r="AF23" s="1" t="e">
        <f t="shared" si="1"/>
        <v>#DIV/0!</v>
      </c>
    </row>
    <row r="24" spans="1:32" x14ac:dyDescent="0.4">
      <c r="A24" s="1" t="s">
        <v>19</v>
      </c>
      <c r="B24" s="23">
        <f>summary!AM24</f>
        <v>0</v>
      </c>
      <c r="C24">
        <v>0</v>
      </c>
      <c r="D24">
        <v>0</v>
      </c>
      <c r="E24">
        <v>0</v>
      </c>
      <c r="F24">
        <v>2301</v>
      </c>
      <c r="G24">
        <v>0</v>
      </c>
      <c r="H24">
        <v>1000</v>
      </c>
      <c r="I24">
        <v>0</v>
      </c>
      <c r="J24">
        <v>0</v>
      </c>
      <c r="K24">
        <v>0</v>
      </c>
      <c r="L24">
        <v>1100</v>
      </c>
      <c r="M24">
        <v>2000</v>
      </c>
      <c r="N24">
        <v>0</v>
      </c>
      <c r="O24">
        <v>1000</v>
      </c>
      <c r="P24">
        <v>5401</v>
      </c>
      <c r="Q24">
        <v>4502</v>
      </c>
      <c r="R24">
        <v>0</v>
      </c>
      <c r="S24">
        <v>1</v>
      </c>
      <c r="T24">
        <v>0</v>
      </c>
      <c r="U24">
        <v>1000</v>
      </c>
      <c r="V24">
        <v>0</v>
      </c>
      <c r="W24">
        <v>3702</v>
      </c>
      <c r="X24">
        <v>0</v>
      </c>
      <c r="Y24" s="26">
        <f>summary!AF24</f>
        <v>0</v>
      </c>
      <c r="Z24" s="35">
        <f>summary!AG24</f>
        <v>0</v>
      </c>
      <c r="AA24" s="35">
        <f>summary!AH24</f>
        <v>0</v>
      </c>
      <c r="AB24" s="1">
        <v>1</v>
      </c>
      <c r="AE24" s="1">
        <f t="shared" si="0"/>
        <v>0</v>
      </c>
      <c r="AF24" s="1" t="e">
        <f t="shared" si="1"/>
        <v>#DIV/0!</v>
      </c>
    </row>
    <row r="25" spans="1:32" x14ac:dyDescent="0.4">
      <c r="A25" s="1" t="s">
        <v>22</v>
      </c>
      <c r="B25" s="23">
        <f>summary!AM25</f>
        <v>0</v>
      </c>
      <c r="C25">
        <v>0</v>
      </c>
      <c r="D25">
        <v>0</v>
      </c>
      <c r="E25">
        <v>1000</v>
      </c>
      <c r="F25">
        <v>5000</v>
      </c>
      <c r="G25">
        <v>1000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1000</v>
      </c>
      <c r="P25">
        <v>5000</v>
      </c>
      <c r="Q25">
        <v>3000</v>
      </c>
      <c r="R25">
        <v>0</v>
      </c>
      <c r="S25">
        <v>1</v>
      </c>
      <c r="T25">
        <v>0</v>
      </c>
      <c r="U25">
        <v>0</v>
      </c>
      <c r="V25">
        <v>0</v>
      </c>
      <c r="W25">
        <v>3000</v>
      </c>
      <c r="X25">
        <v>0</v>
      </c>
      <c r="Y25" s="26">
        <f>summary!AF25</f>
        <v>0</v>
      </c>
      <c r="Z25" s="35">
        <f>summary!AG25</f>
        <v>0</v>
      </c>
      <c r="AA25" s="35">
        <f>summary!AH25</f>
        <v>0</v>
      </c>
      <c r="AB25" s="1">
        <v>1</v>
      </c>
      <c r="AE25" s="1">
        <f t="shared" si="0"/>
        <v>0</v>
      </c>
      <c r="AF25" s="1" t="e">
        <f t="shared" si="1"/>
        <v>#DIV/0!</v>
      </c>
    </row>
    <row r="26" spans="1:32" x14ac:dyDescent="0.4">
      <c r="A26" s="1" t="s">
        <v>24</v>
      </c>
      <c r="B26" s="23">
        <f>summary!AM26</f>
        <v>0</v>
      </c>
      <c r="C26">
        <v>21</v>
      </c>
      <c r="D26">
        <v>0</v>
      </c>
      <c r="E26">
        <v>21</v>
      </c>
      <c r="F26">
        <v>8061</v>
      </c>
      <c r="G26">
        <v>0</v>
      </c>
      <c r="H26">
        <v>1000</v>
      </c>
      <c r="I26">
        <v>0</v>
      </c>
      <c r="J26">
        <v>3000</v>
      </c>
      <c r="K26">
        <v>0</v>
      </c>
      <c r="L26">
        <v>2000</v>
      </c>
      <c r="M26">
        <v>1000</v>
      </c>
      <c r="N26">
        <v>1000</v>
      </c>
      <c r="O26">
        <v>3000</v>
      </c>
      <c r="P26">
        <v>19122</v>
      </c>
      <c r="Q26">
        <v>9081</v>
      </c>
      <c r="R26">
        <v>0</v>
      </c>
      <c r="S26">
        <v>4021</v>
      </c>
      <c r="T26">
        <v>21</v>
      </c>
      <c r="U26">
        <v>1000</v>
      </c>
      <c r="V26">
        <v>7000</v>
      </c>
      <c r="W26">
        <v>12101</v>
      </c>
      <c r="X26">
        <v>4000</v>
      </c>
      <c r="Y26" s="26">
        <f>summary!AF26</f>
        <v>0</v>
      </c>
      <c r="Z26" s="35">
        <f>summary!AG26</f>
        <v>0</v>
      </c>
      <c r="AA26" s="35">
        <f>summary!AH26</f>
        <v>0</v>
      </c>
      <c r="AB26" s="1">
        <v>1</v>
      </c>
      <c r="AE26" s="1">
        <f t="shared" si="0"/>
        <v>0</v>
      </c>
      <c r="AF26" s="1" t="e">
        <f t="shared" si="1"/>
        <v>#DIV/0!</v>
      </c>
    </row>
    <row r="27" spans="1:32" x14ac:dyDescent="0.4">
      <c r="A27" s="1" t="s">
        <v>27</v>
      </c>
      <c r="B27" s="23">
        <f>summary!AM27</f>
        <v>0</v>
      </c>
      <c r="C27">
        <v>0</v>
      </c>
      <c r="D27">
        <v>0</v>
      </c>
      <c r="E27">
        <v>0</v>
      </c>
      <c r="F27">
        <v>2000</v>
      </c>
      <c r="G27">
        <v>0</v>
      </c>
      <c r="H27">
        <v>0</v>
      </c>
      <c r="I27">
        <v>0</v>
      </c>
      <c r="J27">
        <v>0</v>
      </c>
      <c r="K27">
        <v>0</v>
      </c>
      <c r="L27">
        <v>1001</v>
      </c>
      <c r="M27">
        <v>0</v>
      </c>
      <c r="N27">
        <v>0</v>
      </c>
      <c r="O27">
        <v>1000</v>
      </c>
      <c r="P27">
        <v>3001</v>
      </c>
      <c r="Q27">
        <v>2001</v>
      </c>
      <c r="R27">
        <v>0</v>
      </c>
      <c r="S27">
        <v>1</v>
      </c>
      <c r="T27">
        <v>0</v>
      </c>
      <c r="U27">
        <v>0</v>
      </c>
      <c r="V27">
        <v>1000</v>
      </c>
      <c r="W27">
        <v>3001</v>
      </c>
      <c r="X27">
        <v>0</v>
      </c>
      <c r="Y27" s="26">
        <f>summary!AF27</f>
        <v>0</v>
      </c>
      <c r="Z27" s="35">
        <f>summary!AG27</f>
        <v>0</v>
      </c>
      <c r="AA27" s="35">
        <f>summary!AH27</f>
        <v>0</v>
      </c>
      <c r="AB27" s="1">
        <v>1</v>
      </c>
      <c r="AE27" s="1">
        <f t="shared" si="0"/>
        <v>0</v>
      </c>
      <c r="AF27" s="1" t="e">
        <f t="shared" si="1"/>
        <v>#DIV/0!</v>
      </c>
    </row>
    <row r="28" spans="1:32" x14ac:dyDescent="0.4">
      <c r="A28" s="11" t="s">
        <v>43</v>
      </c>
      <c r="B28" s="23">
        <f>summary!AM28</f>
        <v>0</v>
      </c>
      <c r="C28">
        <v>1320</v>
      </c>
      <c r="D28">
        <v>0</v>
      </c>
      <c r="E28">
        <v>0</v>
      </c>
      <c r="F28">
        <v>5580</v>
      </c>
      <c r="G28">
        <v>0</v>
      </c>
      <c r="H28">
        <v>0</v>
      </c>
      <c r="I28">
        <v>0</v>
      </c>
      <c r="J28">
        <v>300</v>
      </c>
      <c r="K28">
        <v>0</v>
      </c>
      <c r="L28">
        <v>200</v>
      </c>
      <c r="M28">
        <v>100</v>
      </c>
      <c r="N28">
        <v>100</v>
      </c>
      <c r="O28">
        <v>9140</v>
      </c>
      <c r="P28">
        <v>16139</v>
      </c>
      <c r="Q28">
        <v>7923</v>
      </c>
      <c r="R28">
        <v>0</v>
      </c>
      <c r="S28">
        <v>2643</v>
      </c>
      <c r="T28">
        <v>0</v>
      </c>
      <c r="U28">
        <v>100</v>
      </c>
      <c r="V28">
        <v>5480</v>
      </c>
      <c r="W28">
        <v>9642</v>
      </c>
      <c r="X28">
        <v>4060</v>
      </c>
      <c r="Y28" s="26">
        <f>summary!AF28</f>
        <v>0</v>
      </c>
      <c r="Z28" s="35">
        <f>summary!AG28</f>
        <v>0</v>
      </c>
      <c r="AA28" s="35">
        <f>summary!AH28</f>
        <v>0</v>
      </c>
      <c r="AB28" s="1">
        <v>1</v>
      </c>
      <c r="AE28" s="1">
        <f t="shared" si="0"/>
        <v>0</v>
      </c>
      <c r="AF28" s="1" t="e">
        <f t="shared" si="1"/>
        <v>#DIV/0!</v>
      </c>
    </row>
    <row r="29" spans="1:32" x14ac:dyDescent="0.4">
      <c r="A29" s="11" t="s">
        <v>44</v>
      </c>
      <c r="B29" s="23">
        <f>summary!AM29</f>
        <v>0</v>
      </c>
      <c r="C29">
        <v>733</v>
      </c>
      <c r="D29">
        <v>0</v>
      </c>
      <c r="E29">
        <v>0</v>
      </c>
      <c r="F29">
        <v>3978</v>
      </c>
      <c r="G29">
        <v>2</v>
      </c>
      <c r="H29">
        <v>6</v>
      </c>
      <c r="I29">
        <v>0</v>
      </c>
      <c r="J29">
        <v>300</v>
      </c>
      <c r="K29">
        <v>0</v>
      </c>
      <c r="L29">
        <v>200</v>
      </c>
      <c r="M29">
        <v>100</v>
      </c>
      <c r="N29">
        <v>100</v>
      </c>
      <c r="O29">
        <v>6859</v>
      </c>
      <c r="P29">
        <v>8205</v>
      </c>
      <c r="Q29">
        <v>3864</v>
      </c>
      <c r="R29">
        <v>0</v>
      </c>
      <c r="S29">
        <v>1105</v>
      </c>
      <c r="T29">
        <v>0</v>
      </c>
      <c r="U29">
        <v>100</v>
      </c>
      <c r="V29">
        <v>2768</v>
      </c>
      <c r="W29">
        <v>5741</v>
      </c>
      <c r="X29">
        <v>2299</v>
      </c>
      <c r="Y29" s="26">
        <f>summary!AF29</f>
        <v>0</v>
      </c>
      <c r="Z29" s="35">
        <f>summary!AG29</f>
        <v>0</v>
      </c>
      <c r="AA29" s="35">
        <f>summary!AH29</f>
        <v>0</v>
      </c>
      <c r="AB29" s="1">
        <v>1</v>
      </c>
      <c r="AE29" s="1">
        <f t="shared" si="0"/>
        <v>0</v>
      </c>
      <c r="AF29" s="1" t="e">
        <f t="shared" si="1"/>
        <v>#DIV/0!</v>
      </c>
    </row>
    <row r="30" spans="1:32" x14ac:dyDescent="0.4">
      <c r="A30" s="11" t="s">
        <v>42</v>
      </c>
      <c r="B30" s="23">
        <f>summary!AM30</f>
        <v>0</v>
      </c>
      <c r="C30">
        <v>336</v>
      </c>
      <c r="D30">
        <v>0</v>
      </c>
      <c r="E30">
        <v>0</v>
      </c>
      <c r="F30">
        <v>1431</v>
      </c>
      <c r="G30">
        <v>0</v>
      </c>
      <c r="H30">
        <v>0</v>
      </c>
      <c r="I30">
        <v>0</v>
      </c>
      <c r="J30">
        <v>40</v>
      </c>
      <c r="K30">
        <v>40</v>
      </c>
      <c r="L30">
        <v>40</v>
      </c>
      <c r="M30">
        <v>0</v>
      </c>
      <c r="N30">
        <v>0</v>
      </c>
      <c r="O30">
        <v>546</v>
      </c>
      <c r="P30">
        <v>1559</v>
      </c>
      <c r="Q30">
        <v>775</v>
      </c>
      <c r="R30">
        <v>0</v>
      </c>
      <c r="S30">
        <v>343</v>
      </c>
      <c r="T30">
        <v>342</v>
      </c>
      <c r="U30">
        <v>2</v>
      </c>
      <c r="V30">
        <v>41</v>
      </c>
      <c r="W30">
        <v>1142</v>
      </c>
      <c r="X30">
        <v>0</v>
      </c>
      <c r="Y30" s="26">
        <f>summary!AF30</f>
        <v>0</v>
      </c>
      <c r="Z30" s="35">
        <f>summary!AG30</f>
        <v>0</v>
      </c>
      <c r="AA30" s="35">
        <f>summary!AH30</f>
        <v>0</v>
      </c>
      <c r="AB30" s="1">
        <v>1</v>
      </c>
      <c r="AE30" s="1">
        <f t="shared" si="0"/>
        <v>0</v>
      </c>
      <c r="AF30" s="1" t="e">
        <f t="shared" si="1"/>
        <v>#DIV/0!</v>
      </c>
    </row>
    <row r="31" spans="1:32" x14ac:dyDescent="0.4">
      <c r="A31" s="1" t="s">
        <v>45</v>
      </c>
      <c r="B31" s="23">
        <f>summary!AM31</f>
        <v>0</v>
      </c>
      <c r="C31">
        <v>0</v>
      </c>
      <c r="D31">
        <v>0</v>
      </c>
      <c r="E31">
        <v>0</v>
      </c>
      <c r="F31">
        <v>392</v>
      </c>
      <c r="G31">
        <v>0</v>
      </c>
      <c r="H31">
        <v>0</v>
      </c>
      <c r="I31">
        <v>60</v>
      </c>
      <c r="J31">
        <v>0</v>
      </c>
      <c r="K31">
        <v>1</v>
      </c>
      <c r="L31">
        <v>218</v>
      </c>
      <c r="M31">
        <v>0</v>
      </c>
      <c r="N31">
        <v>97</v>
      </c>
      <c r="O31">
        <v>316</v>
      </c>
      <c r="P31">
        <v>820</v>
      </c>
      <c r="Q31">
        <v>471</v>
      </c>
      <c r="R31">
        <v>0</v>
      </c>
      <c r="S31">
        <v>111</v>
      </c>
      <c r="T31">
        <v>110</v>
      </c>
      <c r="U31">
        <v>0</v>
      </c>
      <c r="V31">
        <v>146</v>
      </c>
      <c r="W31">
        <v>762</v>
      </c>
      <c r="X31">
        <v>147</v>
      </c>
      <c r="Y31" s="26">
        <f>summary!AF31</f>
        <v>0</v>
      </c>
      <c r="Z31" s="35">
        <f>summary!AG31</f>
        <v>0</v>
      </c>
      <c r="AA31" s="35">
        <f>summary!AH31</f>
        <v>0</v>
      </c>
      <c r="AB31" s="1">
        <v>1</v>
      </c>
      <c r="AE31" s="1">
        <f t="shared" si="0"/>
        <v>0</v>
      </c>
      <c r="AF31" s="1" t="e">
        <f t="shared" si="1"/>
        <v>#DIV/0!</v>
      </c>
    </row>
    <row r="32" spans="1:32" x14ac:dyDescent="0.4">
      <c r="A32" s="1" t="s">
        <v>46</v>
      </c>
      <c r="B32" s="23">
        <f>summary!AM32</f>
        <v>0</v>
      </c>
      <c r="C32">
        <v>1</v>
      </c>
      <c r="D32">
        <v>490</v>
      </c>
      <c r="E32">
        <v>490</v>
      </c>
      <c r="F32">
        <v>2067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1016</v>
      </c>
      <c r="P32">
        <v>2562</v>
      </c>
      <c r="Q32">
        <v>1061</v>
      </c>
      <c r="R32">
        <v>0</v>
      </c>
      <c r="S32">
        <v>11</v>
      </c>
      <c r="T32">
        <v>10</v>
      </c>
      <c r="U32">
        <v>0</v>
      </c>
      <c r="V32">
        <v>26</v>
      </c>
      <c r="W32">
        <v>1576</v>
      </c>
      <c r="X32">
        <v>27</v>
      </c>
      <c r="Y32" s="26">
        <f>summary!AF32</f>
        <v>0</v>
      </c>
      <c r="Z32" s="35">
        <f>summary!AG32</f>
        <v>0</v>
      </c>
      <c r="AA32" s="35">
        <f>summary!AH32</f>
        <v>0</v>
      </c>
      <c r="AB32" s="1">
        <v>1</v>
      </c>
      <c r="AE32" s="1">
        <f t="shared" si="0"/>
        <v>0</v>
      </c>
      <c r="AF32" s="1" t="e">
        <f t="shared" si="1"/>
        <v>#DIV/0!</v>
      </c>
    </row>
    <row r="33" spans="1:32" x14ac:dyDescent="0.4">
      <c r="A33" s="1" t="s">
        <v>47</v>
      </c>
      <c r="B33" s="23">
        <f>summary!AM33</f>
        <v>0</v>
      </c>
      <c r="C33">
        <v>0</v>
      </c>
      <c r="D33">
        <v>0</v>
      </c>
      <c r="E33">
        <v>0</v>
      </c>
      <c r="F33">
        <v>1066</v>
      </c>
      <c r="G33">
        <v>0</v>
      </c>
      <c r="H33">
        <v>0</v>
      </c>
      <c r="I33">
        <v>0</v>
      </c>
      <c r="J33">
        <v>500</v>
      </c>
      <c r="K33">
        <v>501</v>
      </c>
      <c r="L33">
        <v>1024</v>
      </c>
      <c r="M33">
        <v>0</v>
      </c>
      <c r="N33">
        <v>17</v>
      </c>
      <c r="O33">
        <v>536</v>
      </c>
      <c r="P33">
        <v>3112</v>
      </c>
      <c r="Q33">
        <v>1081</v>
      </c>
      <c r="R33">
        <v>0</v>
      </c>
      <c r="S33">
        <v>11</v>
      </c>
      <c r="T33">
        <v>10</v>
      </c>
      <c r="U33">
        <v>500</v>
      </c>
      <c r="V33">
        <v>26</v>
      </c>
      <c r="W33">
        <v>1606</v>
      </c>
      <c r="X33">
        <v>27</v>
      </c>
      <c r="Y33" s="26">
        <f>summary!AF33</f>
        <v>0</v>
      </c>
      <c r="Z33" s="35">
        <f>summary!AG33</f>
        <v>0</v>
      </c>
      <c r="AA33" s="35">
        <f>summary!AH33</f>
        <v>0</v>
      </c>
      <c r="AB33" s="1">
        <v>1</v>
      </c>
      <c r="AE33" s="1">
        <f t="shared" si="0"/>
        <v>0</v>
      </c>
      <c r="AF33" s="1" t="e">
        <f t="shared" si="1"/>
        <v>#DIV/0!</v>
      </c>
    </row>
    <row r="34" spans="1:32" x14ac:dyDescent="0.4">
      <c r="A34" s="1" t="s">
        <v>48</v>
      </c>
      <c r="B34" s="23">
        <f>summary!AM34</f>
        <v>0</v>
      </c>
      <c r="C34">
        <v>852</v>
      </c>
      <c r="D34">
        <v>0</v>
      </c>
      <c r="E34">
        <v>812</v>
      </c>
      <c r="F34">
        <v>3638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1781</v>
      </c>
      <c r="P34">
        <v>5383</v>
      </c>
      <c r="Q34">
        <v>3649</v>
      </c>
      <c r="R34">
        <v>0</v>
      </c>
      <c r="S34">
        <v>41</v>
      </c>
      <c r="T34">
        <v>40</v>
      </c>
      <c r="U34">
        <v>0</v>
      </c>
      <c r="V34">
        <v>116</v>
      </c>
      <c r="W34">
        <v>4616</v>
      </c>
      <c r="X34">
        <v>969</v>
      </c>
      <c r="Y34" s="26">
        <f>summary!AF34</f>
        <v>0</v>
      </c>
      <c r="Z34" s="35">
        <f>summary!AG34</f>
        <v>0</v>
      </c>
      <c r="AA34" s="35">
        <f>summary!AH34</f>
        <v>0</v>
      </c>
      <c r="AB34" s="1">
        <v>1</v>
      </c>
      <c r="AE34" s="1">
        <f t="shared" si="0"/>
        <v>0</v>
      </c>
      <c r="AF34" s="1" t="e">
        <f t="shared" si="1"/>
        <v>#DIV/0!</v>
      </c>
    </row>
    <row r="35" spans="1:32" x14ac:dyDescent="0.4">
      <c r="A35" s="1" t="s">
        <v>49</v>
      </c>
      <c r="B35" s="23">
        <f>summary!AM35</f>
        <v>0</v>
      </c>
      <c r="C35">
        <v>0</v>
      </c>
      <c r="D35">
        <v>0</v>
      </c>
      <c r="E35">
        <v>0</v>
      </c>
      <c r="F35">
        <v>56</v>
      </c>
      <c r="G35">
        <v>0</v>
      </c>
      <c r="H35">
        <v>0</v>
      </c>
      <c r="I35">
        <v>474</v>
      </c>
      <c r="J35">
        <v>0</v>
      </c>
      <c r="K35">
        <v>464</v>
      </c>
      <c r="L35">
        <v>1890</v>
      </c>
      <c r="M35">
        <v>0</v>
      </c>
      <c r="N35">
        <v>0</v>
      </c>
      <c r="O35">
        <v>965</v>
      </c>
      <c r="P35">
        <v>2905</v>
      </c>
      <c r="Q35">
        <v>1957</v>
      </c>
      <c r="R35">
        <v>0</v>
      </c>
      <c r="S35">
        <v>11</v>
      </c>
      <c r="T35">
        <v>10</v>
      </c>
      <c r="U35">
        <v>0</v>
      </c>
      <c r="V35">
        <v>26</v>
      </c>
      <c r="W35">
        <v>2456</v>
      </c>
      <c r="X35">
        <v>501</v>
      </c>
      <c r="Y35" s="26">
        <f>summary!AF35</f>
        <v>0</v>
      </c>
      <c r="Z35" s="35">
        <f>summary!AG35</f>
        <v>0</v>
      </c>
      <c r="AA35" s="35">
        <f>summary!AH35</f>
        <v>0</v>
      </c>
      <c r="AB35" s="1">
        <v>1</v>
      </c>
      <c r="AE35" s="1">
        <f t="shared" si="0"/>
        <v>0</v>
      </c>
      <c r="AF35" s="1" t="e">
        <f t="shared" si="1"/>
        <v>#DIV/0!</v>
      </c>
    </row>
    <row r="36" spans="1:32" x14ac:dyDescent="0.4">
      <c r="A36" s="11" t="s">
        <v>50</v>
      </c>
      <c r="B36" s="23">
        <f>summary!AM36</f>
        <v>0</v>
      </c>
      <c r="C36">
        <v>242</v>
      </c>
      <c r="D36">
        <v>0</v>
      </c>
      <c r="E36">
        <v>0</v>
      </c>
      <c r="F36">
        <v>1035</v>
      </c>
      <c r="G36">
        <v>0</v>
      </c>
      <c r="H36">
        <v>241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578</v>
      </c>
      <c r="P36">
        <v>1545</v>
      </c>
      <c r="Q36">
        <v>658</v>
      </c>
      <c r="R36">
        <v>0</v>
      </c>
      <c r="S36">
        <v>508</v>
      </c>
      <c r="T36">
        <v>25</v>
      </c>
      <c r="U36">
        <v>0</v>
      </c>
      <c r="V36">
        <v>71</v>
      </c>
      <c r="W36">
        <v>1065</v>
      </c>
      <c r="X36">
        <v>72</v>
      </c>
      <c r="Y36" s="26">
        <f>summary!AF36</f>
        <v>0</v>
      </c>
      <c r="Z36" s="35">
        <f>summary!AG36</f>
        <v>0</v>
      </c>
      <c r="AA36" s="35">
        <f>summary!AH36</f>
        <v>0</v>
      </c>
      <c r="AB36" s="1">
        <v>1</v>
      </c>
      <c r="AE36" s="1">
        <f t="shared" si="0"/>
        <v>0</v>
      </c>
      <c r="AF36" s="1" t="e">
        <f t="shared" si="1"/>
        <v>#DIV/0!</v>
      </c>
    </row>
    <row r="37" spans="1:32" x14ac:dyDescent="0.4">
      <c r="A37" s="11" t="s">
        <v>51</v>
      </c>
      <c r="B37" s="23">
        <f>summary!AM37</f>
        <v>0</v>
      </c>
      <c r="C37">
        <v>0</v>
      </c>
      <c r="D37">
        <v>0</v>
      </c>
      <c r="E37">
        <v>875</v>
      </c>
      <c r="F37">
        <v>3125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992</v>
      </c>
      <c r="P37">
        <v>4121</v>
      </c>
      <c r="Q37">
        <v>2986</v>
      </c>
      <c r="R37">
        <v>0</v>
      </c>
      <c r="S37">
        <v>31</v>
      </c>
      <c r="T37">
        <v>30</v>
      </c>
      <c r="U37">
        <v>0</v>
      </c>
      <c r="V37">
        <v>86</v>
      </c>
      <c r="W37">
        <v>3281</v>
      </c>
      <c r="X37">
        <v>87</v>
      </c>
      <c r="Y37" s="26">
        <f>summary!AF37</f>
        <v>0</v>
      </c>
      <c r="Z37" s="35">
        <f>summary!AG37</f>
        <v>0</v>
      </c>
      <c r="AA37" s="35">
        <f>summary!AH37</f>
        <v>0</v>
      </c>
      <c r="AB37" s="1">
        <v>1</v>
      </c>
      <c r="AE37" s="1">
        <f t="shared" si="0"/>
        <v>0</v>
      </c>
      <c r="AF37" s="1" t="e">
        <f t="shared" si="1"/>
        <v>#DIV/0!</v>
      </c>
    </row>
    <row r="38" spans="1:32" x14ac:dyDescent="0.4">
      <c r="A38" s="11" t="s">
        <v>52</v>
      </c>
      <c r="B38" s="23">
        <f>summary!AM38</f>
        <v>0</v>
      </c>
      <c r="C38">
        <v>0</v>
      </c>
      <c r="D38">
        <v>0</v>
      </c>
      <c r="E38">
        <v>0</v>
      </c>
      <c r="F38">
        <v>596</v>
      </c>
      <c r="G38">
        <v>0</v>
      </c>
      <c r="H38">
        <v>0</v>
      </c>
      <c r="I38">
        <v>0</v>
      </c>
      <c r="J38">
        <v>0</v>
      </c>
      <c r="K38">
        <v>0</v>
      </c>
      <c r="L38">
        <v>1094</v>
      </c>
      <c r="M38">
        <v>196</v>
      </c>
      <c r="N38">
        <v>0</v>
      </c>
      <c r="O38">
        <v>397</v>
      </c>
      <c r="P38">
        <v>2287</v>
      </c>
      <c r="Q38">
        <v>1397</v>
      </c>
      <c r="R38">
        <v>0</v>
      </c>
      <c r="S38">
        <v>101</v>
      </c>
      <c r="T38">
        <v>100</v>
      </c>
      <c r="U38">
        <v>0</v>
      </c>
      <c r="V38">
        <v>296</v>
      </c>
      <c r="W38">
        <v>2392</v>
      </c>
      <c r="X38">
        <v>297</v>
      </c>
      <c r="Y38" s="26">
        <f>summary!AF38</f>
        <v>0</v>
      </c>
      <c r="Z38" s="35">
        <f>summary!AG38</f>
        <v>0</v>
      </c>
      <c r="AA38" s="35">
        <f>summary!AH38</f>
        <v>0</v>
      </c>
      <c r="AB38" s="1">
        <v>1</v>
      </c>
      <c r="AE38" s="1">
        <f t="shared" si="0"/>
        <v>0</v>
      </c>
      <c r="AF38" s="1" t="e">
        <f t="shared" si="1"/>
        <v>#DIV/0!</v>
      </c>
    </row>
  </sheetData>
  <phoneticPr fontId="18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"/>
  <sheetViews>
    <sheetView workbookViewId="0">
      <selection activeCell="O4" sqref="O4"/>
    </sheetView>
  </sheetViews>
  <sheetFormatPr defaultRowHeight="18.75" x14ac:dyDescent="0.4"/>
  <sheetData/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summary</vt:lpstr>
      <vt:lpstr>regression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INOKAWAMAKOTO</dc:creator>
  <cp:lastModifiedBy>test</cp:lastModifiedBy>
  <dcterms:created xsi:type="dcterms:W3CDTF">2020-03-25T05:03:44Z</dcterms:created>
  <dcterms:modified xsi:type="dcterms:W3CDTF">2021-10-12T05:48:12Z</dcterms:modified>
</cp:coreProperties>
</file>